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54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85041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46" customWidth="1" min="4" max="4"/>
    <col width="34" customWidth="1" min="5" max="5"/>
    <col width="8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Screen / area</t>
        </is>
      </c>
      <c r="C1" s="1" t="inlineStr">
        <is>
          <t>Do this</t>
        </is>
      </c>
      <c r="D1" s="1" t="inlineStr">
        <is>
          <t>Check that</t>
        </is>
      </c>
      <c r="E1" s="1" t="inlineStr">
        <is>
          <t>Expected — exactly</t>
        </is>
      </c>
      <c r="F1" s="1" t="inlineStr">
        <is>
          <t>Pass?</t>
        </is>
      </c>
      <c r="G1" s="1" t="inlineStr">
        <is>
          <t>Notes</t>
        </is>
      </c>
    </row>
    <row r="2">
      <c r="A2" s="2" t="inlineStr">
        <is>
          <t>THE SCRIPT — type exactly this, so every expected number matches</t>
        </is>
      </c>
    </row>
    <row r="3">
      <c r="A3" t="n">
        <v>1</v>
      </c>
      <c r="B3" t="inlineStr">
        <is>
          <t>Setup persona</t>
        </is>
      </c>
      <c r="C3" s="3" t="inlineStr">
        <is>
          <t>You: monthly · gross 7,000 · 401(k) 800 · match 50% of yours · lands 5,000.  Sam: monthly · gross 4,500 · 401(k) 400 · match a set $150 · lands 3,300.  Partner: yes, named Sam. Filing: married jointly, neither 65. Dividends 3,000/yr reinvested. Bonus 12,000 in December. Rent 1,800 less 600 costs.</t>
        </is>
      </c>
      <c r="D3" s="3" t="inlineStr">
        <is>
          <t>You can enter every one of these somewhere. Anything with no place to put it = FAIL, note where you gave up.</t>
        </is>
      </c>
      <c r="E3" s="3" t="n"/>
    </row>
    <row r="4">
      <c r="A4" s="2" t="inlineStr">
        <is>
          <t>A · GETTING IN — the build-53 loop (was: unreachable)</t>
        </is>
      </c>
    </row>
    <row r="5">
      <c r="A5" t="n">
        <v>2</v>
      </c>
      <c r="B5" t="inlineStr">
        <is>
          <t>Home, fresh install</t>
        </is>
      </c>
      <c r="C5" s="3" t="inlineStr">
        <is>
          <t>Finish the 3 first-run screens (goals + where you are). On "Let's get your real numbers in" tap "Or answer guided setup questions".</t>
        </is>
      </c>
      <c r="D5" s="3" t="inlineStr">
        <is>
          <t>You LAND in the questionnaire and stay there. Build 53 bounced you straight back — same screen, forever.</t>
        </is>
      </c>
      <c r="E5" s="3" t="inlineStr">
        <is>
          <t>questionnaire opens; no loop</t>
        </is>
      </c>
    </row>
    <row r="6">
      <c r="A6" t="n">
        <v>3</v>
      </c>
      <c r="B6" t="inlineStr">
        <is>
          <t>Resume</t>
        </is>
      </c>
      <c r="C6" s="3" t="inlineStr">
        <is>
          <t>Part-way through setup, kill the app, reopen, tap "Pick up where you left off".</t>
        </is>
      </c>
      <c r="D6" s="3" t="inlineStr">
        <is>
          <t>It resumes where you were — it does not bounce to Home.</t>
        </is>
      </c>
      <c r="E6" s="3" t="inlineStr">
        <is>
          <t>resumes</t>
        </is>
      </c>
    </row>
    <row r="7">
      <c r="A7" s="2" t="inlineStr">
        <is>
          <t>B · ONBOARDING — the income screens</t>
        </is>
      </c>
    </row>
    <row r="8">
      <c r="A8" t="n">
        <v>4</v>
      </c>
      <c r="B8" t="inlineStr">
        <is>
          <t>Base-pay step</t>
        </is>
      </c>
      <c r="C8" s="3" t="inlineStr">
        <is>
          <t>Reach the base-pay step in guided setup (pick "A job").</t>
        </is>
      </c>
      <c r="D8" s="3" t="inlineStr">
        <is>
          <t>It is the SAME screen as Cash flow's (sections per earner, who-earns question) — with a progress bar, no Save button; answers keep as you type.</t>
        </is>
      </c>
      <c r="E8" s="3" t="inlineStr">
        <is>
          <t>identical questions</t>
        </is>
      </c>
    </row>
    <row r="9">
      <c r="A9" t="n">
        <v>5</v>
      </c>
      <c r="B9" t="inlineStr">
        <is>
          <t>401(k) inside the wage</t>
        </is>
      </c>
      <c r="C9" s="3" t="inlineStr">
        <is>
          <t>With "A job" picked, look for separate 401(k) / employer-match screens.</t>
        </is>
      </c>
      <c r="D9" s="3" t="inlineStr">
        <is>
          <t>They do NOT appear — both fields live inside each earner's section.</t>
        </is>
      </c>
      <c r="E9" s="3" t="inlineStr">
        <is>
          <t>absent</t>
        </is>
      </c>
    </row>
    <row r="10">
      <c r="A10" t="n">
        <v>6</v>
      </c>
      <c r="B10" t="inlineStr">
        <is>
          <t>Solo 401(k)</t>
        </is>
      </c>
      <c r="C10" s="3" t="inlineStr">
        <is>
          <t>Restart setup; pick ONLY Self-employed (no job) + retirement goal.</t>
        </is>
      </c>
      <c r="D10" s="3" t="inlineStr">
        <is>
          <t>The separate 401(k) screen DOES appear (solo 401(k)).</t>
        </is>
      </c>
      <c r="E10" s="3" t="inlineStr">
        <is>
          <t>present</t>
        </is>
      </c>
    </row>
    <row r="11">
      <c r="A11" t="n">
        <v>7</v>
      </c>
      <c r="B11" t="inlineStr">
        <is>
          <t>No earned income</t>
        </is>
      </c>
      <c r="C11" s="3" t="inlineStr">
        <is>
          <t>Restart; pick only Retirement income + dividends.</t>
        </is>
      </c>
      <c r="D11" s="3" t="inlineStr">
        <is>
          <t>NO 401(k) question anywhere — nobody without earned income can contribute.</t>
        </is>
      </c>
      <c r="E11" s="3" t="inlineStr">
        <is>
          <t>absent</t>
        </is>
      </c>
    </row>
    <row r="12">
      <c r="A12" t="n">
        <v>8</v>
      </c>
      <c r="B12" t="inlineStr">
        <is>
          <t>Filing status</t>
        </is>
      </c>
      <c r="C12" s="3" t="inlineStr">
        <is>
          <t>Reach "How do you file your taxes?" having said you have a partner.</t>
        </is>
      </c>
      <c r="D12" s="3" t="inlineStr">
        <is>
          <t>Pre-answered "Married filing jointly · because you told us about Sam". All FOUR options incl. Married filing separately. The 65-or-older question appears (couple only).</t>
        </is>
      </c>
      <c r="E12" s="3" t="inlineStr">
        <is>
          <t>pre-answered · 4 options</t>
        </is>
      </c>
    </row>
    <row r="13">
      <c r="A13" t="n">
        <v>9</v>
      </c>
      <c r="B13" t="inlineStr">
        <is>
          <t>What it changed</t>
        </is>
      </c>
      <c r="C13" s="3" t="inlineStr">
        <is>
          <t>Answer jointly, continue.</t>
        </is>
      </c>
      <c r="D13" s="3" t="inlineStr">
        <is>
          <t>A once-only panel: taxed as single vs jointly, in dollars.</t>
        </is>
      </c>
      <c r="E13" s="3" t="inlineStr">
        <is>
          <t>panel appears once</t>
        </is>
      </c>
    </row>
    <row r="14">
      <c r="A14" t="n">
        <v>10</v>
      </c>
      <c r="B14" t="inlineStr">
        <is>
          <t>Dividends</t>
        </is>
      </c>
      <c r="C14" s="3" t="inlineStr">
        <is>
          <t>Reach Interest &amp; dividends with accounts already added.</t>
        </is>
      </c>
      <c r="D14" s="3" t="inlineStr">
        <is>
          <t>It shows the working per account ("3.8% on $18,400…"), a "Use $X" button, and asks "Does this reach your bank?" — reinvested is pre-selected.</t>
        </is>
      </c>
      <c r="E14" s="3" t="inlineStr">
        <is>
          <t>working + question</t>
        </is>
      </c>
    </row>
    <row r="15">
      <c r="A15" t="n">
        <v>11</v>
      </c>
      <c r="B15" t="inlineStr">
        <is>
          <t>Taxes step</t>
        </is>
      </c>
      <c r="C15" s="3" t="inlineStr">
        <is>
          <t>Read the Taxes screen wording.</t>
        </is>
      </c>
      <c r="D15" s="3" t="inlineStr">
        <is>
          <t>Says "federal income tax only", names what it excludes (Social Security/Medicare ~7.7%, state). Field says "Everything taken out, as a share of your gross". The words "effective tax rate" appear NOWHERE.</t>
        </is>
      </c>
      <c r="E15" s="3" t="inlineStr">
        <is>
          <t>wording exact</t>
        </is>
      </c>
    </row>
    <row r="16">
      <c r="A16" s="2" t="inlineStr">
        <is>
          <t>C · YOUR BASE PAY (Cash flow → door 1) — the numbers</t>
        </is>
      </c>
    </row>
    <row r="17">
      <c r="A17" t="n">
        <v>12</v>
      </c>
      <c r="B17" t="inlineStr">
        <is>
          <t>Two earners</t>
        </is>
      </c>
      <c r="C17" s="3" t="inlineStr">
        <is>
          <t>Enter the full script for You and Sam, both sections.</t>
        </is>
      </c>
      <c r="D17" s="3" t="inlineStr">
        <is>
          <t>Household block:</t>
        </is>
      </c>
      <c r="E17" s="3" t="n"/>
    </row>
    <row r="18">
      <c r="A18" t="n">
        <v>13</v>
      </c>
      <c r="B18" t="inlineStr">
        <is>
          <t xml:space="preserve">  gross</t>
        </is>
      </c>
      <c r="C18" s="3" t="inlineStr">
        <is>
          <t>—</t>
        </is>
      </c>
      <c r="D18" s="3" t="inlineStr">
        <is>
          <t>Gross a year (both wages)</t>
        </is>
      </c>
      <c r="E18" s="3" t="inlineStr">
        <is>
          <t>$138,000</t>
        </is>
      </c>
    </row>
    <row r="19">
      <c r="A19" t="n">
        <v>14</v>
      </c>
      <c r="B19" t="inlineStr">
        <is>
          <t xml:space="preserve">  bands</t>
        </is>
      </c>
      <c r="C19" s="3" t="inlineStr">
        <is>
          <t>—</t>
        </is>
      </c>
      <c r="D19" s="3" t="inlineStr">
        <is>
          <t>Band on one wage vs on both — two DIFFERENT percentages, labelled.</t>
        </is>
      </c>
      <c r="E19" s="3" t="inlineStr">
        <is>
          <t>12% vs 22%</t>
        </is>
      </c>
    </row>
    <row r="20">
      <c r="A20" t="n">
        <v>15</v>
      </c>
      <c r="B20" t="inlineStr">
        <is>
          <t xml:space="preserve">  lands</t>
        </is>
      </c>
      <c r="C20" s="3" t="inlineStr">
        <is>
          <t>—</t>
        </is>
      </c>
      <c r="D20" s="3">
        <f> Lands in your bank</f>
        <v/>
      </c>
      <c r="E20" s="3" t="inlineStr">
        <is>
          <t>$8,300/mo</t>
        </is>
      </c>
    </row>
    <row r="21">
      <c r="A21" t="n">
        <v>16</v>
      </c>
      <c r="B21" t="inlineStr">
        <is>
          <t xml:space="preserve">  taken out</t>
        </is>
      </c>
      <c r="C21" s="3" t="inlineStr">
        <is>
          <t>—</t>
        </is>
      </c>
      <c r="D21" s="3" t="inlineStr">
        <is>
          <t>Everything taken out row says WHOSE figure it is ("your figures"), not an estimate.</t>
        </is>
      </c>
      <c r="E21" s="3" t="inlineStr">
        <is>
          <t>$2,000/mo · your figures, 17%</t>
        </is>
      </c>
    </row>
    <row r="22">
      <c r="A22" t="n">
        <v>17</v>
      </c>
      <c r="B22" t="inlineStr">
        <is>
          <t>Disagree</t>
        </is>
      </c>
      <c r="C22" s="3" t="inlineStr">
        <is>
          <t>Change your gross to 5,500 (keep 401k 800, lands 5,000).</t>
        </is>
      </c>
      <c r="D22" s="3" t="inlineStr">
        <is>
          <t>Red: "These three cannot all be right… $300 more than there is." SAVE IS DISABLED until fixed.</t>
        </is>
      </c>
      <c r="E22" s="3" t="inlineStr">
        <is>
          <t>refused; Save dead</t>
        </is>
      </c>
    </row>
    <row r="23">
      <c r="A23" t="n">
        <v>18</v>
      </c>
      <c r="B23" t="inlineStr">
        <is>
          <t>Estimating</t>
        </is>
      </c>
      <c r="C23" s="3" t="inlineStr">
        <is>
          <t>Blank out both "lands" fields.</t>
        </is>
      </c>
      <c r="D23" s="3" t="inlineStr">
        <is>
          <t>Row becomes "Estimated federal tax · assumes you take the standard deduction" ≈$1,317/mo, warning names the gap in money, and the rate field appears.</t>
        </is>
      </c>
      <c r="E23" s="3" t="inlineStr">
        <is>
          <t>≈$1,317 · short ~$880/mo · lands ≈$9,778</t>
        </is>
      </c>
    </row>
    <row r="24">
      <c r="A24" t="n">
        <v>19</v>
      </c>
      <c r="B24" t="inlineStr">
        <is>
          <t>Your rate</t>
        </is>
      </c>
      <c r="C24" s="3" t="inlineStr">
        <is>
          <t>Type 24 in "The tax rate you want us to use".</t>
        </is>
      </c>
      <c r="D24" s="3" t="inlineStr">
        <is>
          <t>Line appears: used everywhere take-home matters; one-offs like a Roth conversion still use the tax tables.</t>
        </is>
      </c>
      <c r="E24" s="3" t="inlineStr">
        <is>
          <t>wording exact</t>
        </is>
      </c>
    </row>
    <row r="25">
      <c r="A25" t="n">
        <v>20</v>
      </c>
      <c r="B25" t="inlineStr">
        <is>
          <t>Varies + years</t>
        </is>
      </c>
      <c r="C25" s="3" t="inlineStr">
        <is>
          <t>Set Sam to "It varies".</t>
        </is>
      </c>
      <c r="D25" s="3" t="inlineStr">
        <is>
          <t>FOURTEEN months, last month first (greyed), each with its YEAR — table crosses into 2027.</t>
        </is>
      </c>
      <c r="E25" s="3" t="inlineStr">
        <is>
          <t>14 months, years shown</t>
        </is>
      </c>
    </row>
    <row r="26">
      <c r="A26" s="2" t="inlineStr">
        <is>
          <t>D · YOUR INCOME, ALL OF IT (Cash flow → Income tab → open)</t>
        </is>
      </c>
    </row>
    <row r="27">
      <c r="A27" t="n">
        <v>21</v>
      </c>
      <c r="B27" t="inlineStr">
        <is>
          <t>Two totals</t>
        </is>
      </c>
      <c r="C27" s="3" t="inlineStr">
        <is>
          <t>Open with the full script entered.</t>
        </is>
      </c>
      <c r="D27" s="3" t="inlineStr">
        <is>
          <t>TWO blocks, never mixed: "What lands each month" and "What it is taxed on".</t>
        </is>
      </c>
      <c r="E27" s="3" t="n"/>
    </row>
    <row r="28">
      <c r="A28" t="n">
        <v>22</v>
      </c>
      <c r="B28" t="inlineStr">
        <is>
          <t xml:space="preserve">  taxed on</t>
        </is>
      </c>
      <c r="C28" s="3" t="inlineStr">
        <is>
          <t>—</t>
        </is>
      </c>
      <c r="D28" s="3">
        <f> Gross a year (all sources: both wages + rent net 14,400 + dividends 3,000 + bonus 12,000)</f>
        <v/>
      </c>
      <c r="E28" s="3" t="inlineStr">
        <is>
          <t>$167,400</t>
        </is>
      </c>
    </row>
    <row r="29">
      <c r="A29" t="n">
        <v>23</v>
      </c>
      <c r="B29" t="inlineStr">
        <is>
          <t xml:space="preserve">  bracket</t>
        </is>
      </c>
      <c r="C29" s="3" t="inlineStr">
        <is>
          <t>—</t>
        </is>
      </c>
      <c r="D29" s="3" t="inlineStr">
        <is>
          <t>Federal tax bracket · every source counted</t>
        </is>
      </c>
      <c r="E29" s="3" t="inlineStr">
        <is>
          <t>22%</t>
        </is>
      </c>
    </row>
    <row r="30">
      <c r="A30" t="n">
        <v>24</v>
      </c>
      <c r="B30" t="inlineStr">
        <is>
          <t xml:space="preserve">  tax line</t>
        </is>
      </c>
      <c r="C30" s="3" t="inlineStr">
        <is>
          <t>—</t>
        </is>
      </c>
      <c r="D30" s="3" t="inlineStr">
        <is>
          <t>Tax row names whose rate. With your figures:</t>
        </is>
      </c>
      <c r="E30" s="3" t="inlineStr">
        <is>
          <t>$29,113/yr · "your figures, 17%"</t>
        </is>
      </c>
    </row>
    <row r="31">
      <c r="A31" t="n">
        <v>25</v>
      </c>
      <c r="B31" t="inlineStr">
        <is>
          <t xml:space="preserve">  your 24%</t>
        </is>
      </c>
      <c r="C31" s="3" t="inlineStr">
        <is>
          <t>With 24 typed on base pay, reopen.</t>
        </is>
      </c>
      <c r="D31" s="3" t="inlineStr">
        <is>
          <t>Tax = $40,176/yr · "your rate, 24% (edit on Your base pay screen)". NO input field here — a recap shows, it never asks.</t>
        </is>
      </c>
      <c r="E31" s="3" t="inlineStr">
        <is>
          <t>$40,176 · no field</t>
        </is>
      </c>
    </row>
    <row r="32">
      <c r="A32" t="n">
        <v>26</v>
      </c>
      <c r="B32" t="inlineStr">
        <is>
          <t xml:space="preserve">  dividends note</t>
        </is>
      </c>
      <c r="C32" s="3" t="inlineStr">
        <is>
          <t>—</t>
        </is>
      </c>
      <c r="D32" s="3" t="inlineStr">
        <is>
          <t>"Your $250 a month of interest and dividends is not here — reinvested… taxed, so it appears below."</t>
        </is>
      </c>
      <c r="E32" s="3" t="inlineStr">
        <is>
          <t>$250 note present</t>
        </is>
      </c>
    </row>
    <row r="33">
      <c r="A33" t="n">
        <v>27</v>
      </c>
      <c r="B33" t="inlineStr">
        <is>
          <t xml:space="preserve">  December</t>
        </is>
      </c>
      <c r="C33" s="3" t="inlineStr">
        <is>
          <t>—</t>
        </is>
      </c>
      <c r="D33" s="3" t="inlineStr">
        <is>
          <t>The bonus month appears as its own line, not spread.</t>
        </is>
      </c>
      <c r="E33" s="3" t="inlineStr">
        <is>
          <t>December stands out</t>
        </is>
      </c>
    </row>
    <row r="34">
      <c r="A34" t="n">
        <v>28</v>
      </c>
      <c r="B34" t="inlineStr">
        <is>
          <t>Fresh account</t>
        </is>
      </c>
      <c r="C34" s="3" t="inlineStr">
        <is>
          <t>Log out / new account, open the summary.</t>
        </is>
      </c>
      <c r="D34" s="3" t="inlineStr">
        <is>
          <t>Both headings stay; shows "—", never $0; "Add your income" door.</t>
        </is>
      </c>
      <c r="E34" s="3" t="inlineStr">
        <is>
          <t>no invented $0</t>
        </is>
      </c>
    </row>
    <row r="35">
      <c r="A35" s="2" t="inlineStr">
        <is>
          <t>E · DIVIDENDS — taxed, not spendable</t>
        </is>
      </c>
    </row>
    <row r="36">
      <c r="A36" t="n">
        <v>29</v>
      </c>
      <c r="B36" t="inlineStr">
        <is>
          <t>Reinvested vs paid</t>
        </is>
      </c>
      <c r="C36" s="3" t="inlineStr">
        <is>
          <t>Note take-home with dividends reinvested; flip to "paid to my bank"; compare with 0 dividends.</t>
        </is>
      </c>
      <c r="D36" s="3" t="inlineStr">
        <is>
          <t>Paid adds back exactly $250/mo vs reinvested. Reinvested is LOWER than no-dividends at all (the tax on money you never see).</t>
        </is>
      </c>
      <c r="E36" s="3" t="inlineStr">
        <is>
          <t>see Notes: none $10,517 · reinv $10,474 · paid $10,724 (script figures)</t>
        </is>
      </c>
    </row>
    <row r="37">
      <c r="A37" s="2" t="inlineStr">
        <is>
          <t>F · CROSS-SCREEN AGREEMENT — the founder rule</t>
        </is>
      </c>
    </row>
    <row r="38">
      <c r="A38" t="n">
        <v>30</v>
      </c>
      <c r="B38" t="inlineStr">
        <is>
          <t>One take-home</t>
        </is>
      </c>
      <c r="C38" s="3" t="inlineStr">
        <is>
          <t>Compare "= Lands in your bank" on base pay vs "A usual month" on the summary vs Cash flow "In".</t>
        </is>
      </c>
      <c r="D38" s="3" t="inlineStr">
        <is>
          <t>Same figure everywhere it means the same thing. Any two screens apart = FAIL with both numbers.</t>
        </is>
      </c>
      <c r="E38" s="3" t="inlineStr">
        <is>
          <t>$0 apart</t>
        </is>
      </c>
    </row>
    <row r="39">
      <c r="A39" t="n">
        <v>31</v>
      </c>
      <c r="B39" t="inlineStr">
        <is>
          <t>One rate</t>
        </is>
      </c>
      <c r="C39" s="3" t="inlineStr">
        <is>
          <t>Change the rate to 30 on base pay, then open summary + cash flow.</t>
        </is>
      </c>
      <c r="D39" s="3" t="inlineStr">
        <is>
          <t>Every take-home moves together; summary says "your rate, 30%".</t>
        </is>
      </c>
      <c r="E39" s="3" t="inlineStr">
        <is>
          <t>all move</t>
        </is>
      </c>
    </row>
    <row r="40">
      <c r="A40" s="2" t="inlineStr">
        <is>
          <t>G · TAX ORGANIZER + LIMITS + RMD</t>
        </is>
      </c>
    </row>
    <row r="41">
      <c r="A41" t="n">
        <v>32</v>
      </c>
      <c r="B41" t="inlineStr">
        <is>
          <t>Filing link</t>
        </is>
      </c>
      <c r="C41" s="3" t="inlineStr">
        <is>
          <t>Plan → Tax organizer → HOW YOU FILE.</t>
        </is>
      </c>
      <c r="D41" s="3" t="inlineStr">
        <is>
          <t>Shows the answer + "Change ›" opening the filing screen. The old three chips are gone; MFS available via the screen.</t>
        </is>
      </c>
      <c r="E41" s="3" t="inlineStr">
        <is>
          <t>link, not chips</t>
        </is>
      </c>
    </row>
    <row r="42">
      <c r="A42" t="n">
        <v>33</v>
      </c>
      <c r="B42" t="inlineStr">
        <is>
          <t>60–63 catch-up</t>
        </is>
      </c>
      <c r="C42" s="3" t="inlineStr">
        <is>
          <t>Contribution-room / 401(k) headroom with your age set to 60 (Settings birth year).</t>
        </is>
      </c>
      <c r="D42" s="3" t="inlineStr">
        <is>
          <t>Limit shows $35,750 (24,500 + 11,250 super catch-up). At 55: $32,500. At 64: back to $32,500.</t>
        </is>
      </c>
      <c r="E42" s="3" t="inlineStr">
        <is>
          <t>35,750 / 32,500 / 32,500</t>
        </is>
      </c>
    </row>
    <row r="43">
      <c r="A43" t="n">
        <v>34</v>
      </c>
      <c r="B43" t="inlineStr">
        <is>
          <t>RMD at high age</t>
        </is>
      </c>
      <c r="C43" s="3" t="inlineStr">
        <is>
          <t>Retirement → required withdrawals, project to age 98 with ~$500k pre-tax.</t>
        </is>
      </c>
      <c r="D43" s="3" t="inlineStr">
        <is>
          <t>Required draw uses divisor 7.3 → about $68,493 (was $67,568 before the table fix).</t>
        </is>
      </c>
      <c r="E43" s="3" t="inlineStr">
        <is>
          <t>≈$68,493</t>
        </is>
      </c>
    </row>
    <row r="44">
      <c r="A44" s="2" t="inlineStr">
        <is>
          <t>H · DATES — tonight is the right night to test this</t>
        </is>
      </c>
    </row>
    <row r="45">
      <c r="A45" t="n">
        <v>35</v>
      </c>
      <c r="B45" t="inlineStr">
        <is>
          <t>Evening entry</t>
        </is>
      </c>
      <c r="C45" s="3" t="inlineStr">
        <is>
          <t>After 5pm PT (UTC has rolled), log an expense.</t>
        </is>
      </c>
      <c r="D45" s="3" t="inlineStr">
        <is>
          <t>It lands in TODAY / September — not tomorrow, not October.</t>
        </is>
      </c>
      <c r="E45" s="3" t="inlineStr">
        <is>
          <t>local date</t>
        </is>
      </c>
    </row>
    <row r="46">
      <c r="A46" t="n">
        <v>36</v>
      </c>
      <c r="B46" t="inlineStr">
        <is>
          <t>Staleness</t>
        </is>
      </c>
      <c r="C46" s="3" t="inlineStr">
        <is>
          <t>Find an account valued ~3 months ago.</t>
        </is>
      </c>
      <c r="D46" s="3" t="inlineStr">
        <is>
          <t>Shows a dated chip, NO stale flag (stale starts at 6 months).</t>
        </is>
      </c>
      <c r="E46" s="3" t="inlineStr">
        <is>
          <t>fresh chip</t>
        </is>
      </c>
    </row>
    <row r="47">
      <c r="A47" s="2" t="inlineStr">
        <is>
          <t>I · GENERAL REGRESSIONS</t>
        </is>
      </c>
    </row>
    <row r="48">
      <c r="A48" t="n">
        <v>37</v>
      </c>
      <c r="B48" t="inlineStr">
        <is>
          <t>Hide balances</t>
        </is>
      </c>
      <c r="C48" s="3" t="inlineStr">
        <is>
          <t>Toggle hide balances; visit base pay, summary, filing panel.</t>
        </is>
      </c>
      <c r="D48" s="3" t="inlineStr">
        <is>
          <t>EVERY figure masks — including the new screens and the disagree warning.</t>
        </is>
      </c>
      <c r="E48" s="3" t="inlineStr">
        <is>
          <t>all masked</t>
        </is>
      </c>
    </row>
    <row r="49">
      <c r="A49" t="n">
        <v>38</v>
      </c>
      <c r="B49" t="inlineStr">
        <is>
          <t>Old take-home entry</t>
        </is>
      </c>
      <c r="C49" s="3" t="inlineStr">
        <is>
          <t>If any account had salary saved as take-home (pre-54): open base pay.</t>
        </is>
      </c>
      <c r="D49" s="3" t="inlineStr">
        <is>
          <t>Converted once: gross filled in, your old number sits in "lands"; totals unchanged from what you knew.</t>
        </is>
      </c>
      <c r="E49" s="3" t="inlineStr">
        <is>
          <t>no jump in income</t>
        </is>
      </c>
    </row>
    <row r="50">
      <c r="A50" t="n">
        <v>39</v>
      </c>
      <c r="B50" t="inlineStr">
        <is>
          <t>Cash flow · Income tab</t>
        </is>
      </c>
      <c r="C50" s="3" t="inlineStr">
        <is>
          <t>With both earners entered, open the Income tab.</t>
        </is>
      </c>
      <c r="D50" s="3" t="inlineStr">
        <is>
          <t>ONE salary row PER EARNER — "You · Salary" and "Sam · Salary", each with its own figure. Build 53 showed a single row however many earned.</t>
        </is>
      </c>
      <c r="E50" s="3" t="inlineStr">
        <is>
          <t>two rows</t>
        </is>
      </c>
    </row>
    <row r="51">
      <c r="A51" t="n">
        <v>40</v>
      </c>
      <c r="B51" t="inlineStr">
        <is>
          <t>Cash flow · Income tab</t>
        </is>
      </c>
      <c r="C51" s="3" t="inlineStr">
        <is>
          <t>Find the door to the summary.</t>
        </is>
      </c>
      <c r="D51" s="3" t="inlineStr">
        <is>
          <t>"Your income, all of it — what lands, and what it is taxed on" opens the summary screen (test section D).</t>
        </is>
      </c>
      <c r="E51" s="3" t="inlineStr">
        <is>
          <t>door works</t>
        </is>
      </c>
    </row>
  </sheetData>
  <mergeCells count="10">
    <mergeCell ref="A44:G44"/>
    <mergeCell ref="A40:G40"/>
    <mergeCell ref="A35:G35"/>
    <mergeCell ref="A4:G4"/>
    <mergeCell ref="A26:G26"/>
    <mergeCell ref="A16:G16"/>
    <mergeCell ref="A2:G2"/>
    <mergeCell ref="A7:G7"/>
    <mergeCell ref="A47:G47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2026-09-02T03:59:07Z</dcterms:created>
  <dcterms:modified xsi:type="dcterms:W3CDTF">2026-09-02T03:59:07Z</dcterms:modified>
</cp:coreProperties>
</file>