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33600" windowHeight="19880" tabRatio="600" firstSheet="0" activeTab="6" autoFilterDateGrouping="1"/>
  </bookViews>
  <sheets>
    <sheet name="Overview &amp; how to read" sheetId="1" state="visible" r:id="rId1"/>
    <sheet name="v1.0 review → v1.1" sheetId="2" state="visible" r:id="rId2"/>
    <sheet name="Screen inventory" sheetId="3" state="visible" r:id="rId3"/>
    <sheet name="Home" sheetId="4" state="visible" r:id="rId4"/>
    <sheet name="Net worth" sheetId="5" state="visible" r:id="rId5"/>
    <sheet name="Invest" sheetId="6" state="visible" r:id="rId6"/>
    <sheet name="Cash flow" sheetId="7" state="visible" r:id="rId7"/>
    <sheet name="Plan" sheetId="8" state="visible" r:id="rId8"/>
    <sheet name="New engines" sheetId="9" state="visible" r:id="rId9"/>
    <sheet name="Data-lineage map" sheetId="10" state="visible" r:id="rId10"/>
    <sheet name="Changelog" sheetId="11" state="visible" r:id="rId11"/>
  </sheets>
  <definedNames/>
  <calcPr calcId="191029" fullCalcOnLoad="1"/>
</workbook>
</file>

<file path=xl/styles.xml><?xml version="1.0" encoding="utf-8"?>
<styleSheet xmlns="http://schemas.openxmlformats.org/spreadsheetml/2006/main">
  <numFmts count="0"/>
  <fonts count="15">
    <font>
      <name val="Calibri"/>
      <family val="2"/>
      <color theme="1"/>
      <sz val="11"/>
      <scheme val="minor"/>
    </font>
    <font>
      <name val="Calibri"/>
      <family val="2"/>
      <b val="1"/>
      <color rgb="FFFFFFFF"/>
      <sz val="11"/>
    </font>
    <font>
      <name val="Calibri"/>
      <family val="2"/>
      <b val="1"/>
      <sz val="10.5"/>
    </font>
    <font>
      <name val="Calibri"/>
      <family val="2"/>
      <sz val="10.5"/>
    </font>
    <font>
      <name val="Calibri"/>
      <family val="2"/>
      <color rgb="FFFFFFFF"/>
      <sz val="10"/>
    </font>
    <font>
      <name val="Courier New"/>
      <family val="1"/>
      <sz val="10"/>
    </font>
    <font>
      <name val="Courier New"/>
      <family val="1"/>
      <sz val="9"/>
    </font>
    <font>
      <name val="Calibri"/>
      <family val="2"/>
      <b val="1"/>
      <color rgb="FFFFFFFF"/>
      <sz val="11"/>
    </font>
    <font>
      <name val="Calibri"/>
      <family val="2"/>
      <sz val="10.5"/>
    </font>
    <font>
      <name val="Calibri"/>
      <family val="2"/>
      <b val="1"/>
      <sz val="10.5"/>
    </font>
    <font>
      <name val="Calibri"/>
      <family val="2"/>
      <b val="1"/>
      <color rgb="FFFFFFFF"/>
      <sz val="11"/>
    </font>
    <font>
      <name val="Calibri"/>
      <family val="2"/>
      <b val="1"/>
      <color rgb="FF1F6E43"/>
      <sz val="11"/>
    </font>
    <font>
      <b val="1"/>
    </font>
    <font/>
    <font>
      <b val="1"/>
      <color rgb="00FFFFFF"/>
    </font>
  </fonts>
  <fills count="7">
    <fill>
      <patternFill/>
    </fill>
    <fill>
      <patternFill patternType="gray125"/>
    </fill>
    <fill>
      <patternFill patternType="solid">
        <fgColor rgb="FF1A1A18"/>
      </patternFill>
    </fill>
    <fill>
      <patternFill patternType="solid">
        <fgColor rgb="FF1A5632"/>
      </patternFill>
    </fill>
    <fill>
      <patternFill patternType="solid">
        <fgColor rgb="FFE7F3EC"/>
      </patternFill>
    </fill>
    <fill>
      <patternFill patternType="solid">
        <fgColor rgb="FF1F4E5F"/>
      </patternFill>
    </fill>
    <fill>
      <patternFill patternType="solid">
        <fgColor rgb="000F6E56"/>
      </patternFill>
    </fill>
  </fills>
  <borders count="1">
    <border>
      <left/>
      <right/>
      <top/>
      <bottom/>
      <diagonal/>
    </border>
  </borders>
  <cellStyleXfs count="1">
    <xf numFmtId="0" fontId="0" fillId="0" borderId="0"/>
  </cellStyleXfs>
  <cellXfs count="20">
    <xf numFmtId="0" fontId="0" fillId="0" borderId="0" pivotButton="0" quotePrefix="0" xfId="0"/>
    <xf numFmtId="0" fontId="1" fillId="2"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0" fillId="0" borderId="0" applyAlignment="1" pivotButton="0" quotePrefix="0" xfId="0">
      <alignment vertical="top" wrapText="1"/>
    </xf>
    <xf numFmtId="0" fontId="1" fillId="3" borderId="0" applyAlignment="1" pivotButton="0" quotePrefix="0" xfId="0">
      <alignment vertical="top" wrapText="1"/>
    </xf>
    <xf numFmtId="0" fontId="4" fillId="3" borderId="0" applyAlignment="1" pivotButton="0" quotePrefix="0" xfId="0">
      <alignment vertical="top" wrapText="1"/>
    </xf>
    <xf numFmtId="0" fontId="0" fillId="3" borderId="0" pivotButton="0" quotePrefix="0" xfId="0"/>
    <xf numFmtId="0" fontId="2" fillId="0" borderId="0" pivotButton="0" quotePrefix="0" xfId="0"/>
    <xf numFmtId="0" fontId="5" fillId="0" borderId="0" applyAlignment="1" pivotButton="0" quotePrefix="0" xfId="0">
      <alignment vertical="top" wrapText="1"/>
    </xf>
    <xf numFmtId="0" fontId="7" fillId="2" borderId="0" applyAlignment="1" pivotButton="0" quotePrefix="0" xfId="0">
      <alignment vertical="top" wrapText="1"/>
    </xf>
    <xf numFmtId="0" fontId="9" fillId="0" borderId="0" applyAlignment="1" pivotButton="0" quotePrefix="0" xfId="0">
      <alignment vertical="top" wrapText="1"/>
    </xf>
    <xf numFmtId="0" fontId="8" fillId="0" borderId="0" applyAlignment="1" pivotButton="0" quotePrefix="0" xfId="0">
      <alignment vertical="top" wrapText="1"/>
    </xf>
    <xf numFmtId="0" fontId="8" fillId="4" borderId="0" applyAlignment="1" pivotButton="0" quotePrefix="0" xfId="0">
      <alignment vertical="top" wrapText="1"/>
    </xf>
    <xf numFmtId="0" fontId="6" fillId="0" borderId="0" applyAlignment="1" pivotButton="0" quotePrefix="0" xfId="0">
      <alignment vertical="top" wrapText="1"/>
    </xf>
    <xf numFmtId="0" fontId="11" fillId="0" borderId="0" applyAlignment="1" pivotButton="0" quotePrefix="0" xfId="0">
      <alignment vertical="top" wrapText="1"/>
    </xf>
    <xf numFmtId="0" fontId="10" fillId="5" borderId="0" applyAlignment="1" pivotButton="0" quotePrefix="0" xfId="0">
      <alignment vertical="top" wrapText="1"/>
    </xf>
    <xf numFmtId="0" fontId="12" fillId="0" borderId="0" applyAlignment="1" pivotButton="0" quotePrefix="0" xfId="0">
      <alignment vertical="top" wrapText="1"/>
    </xf>
    <xf numFmtId="0" fontId="13" fillId="0" borderId="0" applyAlignment="1" pivotButton="0" quotePrefix="0" xfId="0">
      <alignment vertical="top" wrapText="1"/>
    </xf>
    <xf numFmtId="0" fontId="14" fillId="6"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pane ySplit="1" topLeftCell="A2" activePane="bottomLeft" state="frozen"/>
      <selection pane="bottomLeft" activeCell="A1" sqref="A1"/>
    </sheetView>
  </sheetViews>
  <sheetFormatPr baseColWidth="10" defaultColWidth="8.83203125" defaultRowHeight="15"/>
  <cols>
    <col width="24" customWidth="1" min="1" max="1"/>
    <col width="110" customWidth="1" min="2" max="2"/>
    <col width="11" customWidth="1" min="3" max="3"/>
    <col width="26" customWidth="1" min="4" max="4"/>
  </cols>
  <sheetData>
    <row r="1" ht="48" customHeight="1">
      <c r="A1" s="15" t="inlineStr">
        <is>
          <t>🔨 Build status · 2026-07-14 (Build #41 · v1.1.0 on TestFlight) — the whole-design build is ~85% shipped and on your phone. Per-screen status: new column on the Screen inventory tab; per-engine: New engines tab. Working status board: FCC-build-tracker.md · your walk sheet: docs/finwise-device-test-build41.xlsx</t>
        </is>
      </c>
    </row>
    <row r="2" ht="140" customHeight="1">
      <c r="A2" s="1" t="inlineStr">
        <is>
          <t>Section</t>
        </is>
      </c>
      <c r="B2" s="1" t="inlineStr">
        <is>
          <t>Detail</t>
        </is>
      </c>
      <c r="C2" s="1" t="inlineStr">
        <is>
          <t>✅ Approve?</t>
        </is>
      </c>
      <c r="D2" s="1" t="inlineStr">
        <is>
          <t>💬 Your comments</t>
        </is>
      </c>
    </row>
    <row r="3" ht="84" customHeight="1">
      <c r="A3" s="2" t="inlineStr">
        <is>
          <t>WHAT CHANGED v1.0 → v1.1</t>
        </is>
      </c>
      <c r="B3" s="3" t="inlineStr">
        <is>
          <t>Your v1.0 review (2026-07-06) = 32 in-document comments + 4 macro items. Every one is answered on the 'v1.0 review → v1.1' tab. Changes in this version: 3 NEW screens (Onboarding flow map · Add/edit an account by hand · Quick-add expense) — 40 screens total; 'Will my money last? — to age 92' naming everywhere; source-first income lines ('Social Security $2,600'); icon+color+word direction marks; info dots (investments/market/net worth definitions, asset classes, cash-equivalents, import file format, SSA formula, retirement earmark); 'Where the return came from' breakdown (realized · dividends · interest · on-paper — net-new); multi-select intents + what-FinWise-can-do intro; freshness stamp on every variant incl. hidden; retirement/non-retirement grouping; holdings-level sync + manual-transaction dedup rules; collapsible holdings groups; PROPOSED: top-bar '+' quick add replaces the net-worth chip (your approve/reject on the review tab). Keyboard rule (buttons never hide behind the keyboard) is now a gate in the UX doc.</t>
        </is>
      </c>
    </row>
    <row r="4" ht="84" customHeight="1">
      <c r="A4" s="2" t="inlineStr">
        <is>
          <t>WHAT THIS IS</t>
        </is>
      </c>
      <c r="B4" s="3" t="inlineStr">
        <is>
          <t>The DETAILED design for the FinWise 55-70 core: every screen of the five tabs (Home · Net worth · Invest · Cash flow · Plan), drawn as a phone wireframe with real example numbers, specified element by element — what each element shows, WHERE ITS NUMBER COMES FROM (the exact engine in the code, or the named net-new engine), which other screens must show the identical number, and every state (empty, loading, stale, hidden-balances, error).
It implements the approved high-level design v1.2 and PRD v1.1 — including every change from your v1.0 review (activity recording for all asset classes, dated rolling months with the year visible, bond/alternative value freshness + rate-sensitivity estimate, institution capture on import, and 'Use this plan' adoption that updates the whole app).</t>
        </is>
      </c>
    </row>
    <row r="5" ht="84" customHeight="1">
      <c r="A5" s="2" t="inlineStr">
        <is>
          <t>HOW TO READ A SCREEN</t>
        </is>
      </c>
      <c r="B5" s="3" t="inlineStr">
        <is>
          <t>Each tab sheet lists its screens. Per screen: the WIREFRAME (a phone sketch — labels and numbers are realistic examples, not final copy), the PURPOSE, then an ELEMENT TABLE: element → what it shows (plain English) → data lineage (existing code helper, or NET-NEW engine) → the fields it reads → its sameness pin (which other screens must agree). Then STATES, interactions, accessibility notes, and a build note (reuse vs net-new). Mark Approve?/Comments on any screen row.</t>
        </is>
      </c>
    </row>
    <row r="6" ht="32" customHeight="1">
      <c r="A6" s="2" t="inlineStr">
        <is>
          <t>BY THE NUMBERS</t>
        </is>
      </c>
      <c r="B6" s="3" t="inlineStr">
        <is>
          <t>37 screens/variants across 5 tabs · 94 data-lineage rows (every on-screen number traced to its one engine) · 13 net-new engine specs (safe-to-spend paycheck, account-sync seam, dated canonical grid, scenario composer + adoption contract, multi-goal weigher, scam flag, bond rate-sensitivity).</t>
        </is>
      </c>
    </row>
    <row r="7" ht="32" customHeight="1">
      <c r="A7" s="2" t="inlineStr">
        <is>
          <t>WHAT COMES NEXT</t>
        </is>
      </c>
      <c r="B7" s="3" t="inlineStr">
        <is>
          <t>You review this + PRD v1.1 + the UX design together. On approval: build, module by module, reusing the canonical helpers and extending the cross-screen agreement-test pattern to every new engine (one concept → one engine → one number).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7"/>
  <sheetViews>
    <sheetView zoomScale="150" workbookViewId="0">
      <pane ySplit="1" topLeftCell="A8" activePane="bottomLeft" state="frozen"/>
      <selection pane="bottomLeft" activeCell="D29" sqref="D29"/>
    </sheetView>
  </sheetViews>
  <sheetFormatPr baseColWidth="10" defaultColWidth="8.83203125" defaultRowHeight="15"/>
  <cols>
    <col width="5" customWidth="1" min="1" max="1"/>
    <col width="22" customWidth="1" min="2" max="2"/>
    <col width="36" customWidth="1" min="3" max="3"/>
    <col width="64" customWidth="1" min="4" max="4"/>
    <col width="42" customWidth="1" min="5" max="5"/>
    <col width="11" customWidth="1" min="6" max="6"/>
    <col width="22" customWidth="1" min="7" max="7"/>
  </cols>
  <sheetData>
    <row r="1" ht="32" customHeight="1">
      <c r="A1" s="10" t="inlineStr">
        <is>
          <t>#</t>
        </is>
      </c>
      <c r="B1" s="10" t="inlineStr">
        <is>
          <t>Where</t>
        </is>
      </c>
      <c r="C1" s="10" t="inlineStr">
        <is>
          <t>Your comment</t>
        </is>
      </c>
      <c r="D1" s="10" t="inlineStr">
        <is>
          <t>Answer</t>
        </is>
      </c>
      <c r="E1" s="10" t="inlineStr">
        <is>
          <t>What changed in v1.1</t>
        </is>
      </c>
      <c r="F1" s="10" t="inlineStr">
        <is>
          <t>✅ Approve?</t>
        </is>
      </c>
      <c r="G1" s="10" t="inlineStr">
        <is>
          <t>💬 Comments</t>
        </is>
      </c>
    </row>
    <row r="2" ht="84" customHeight="1">
      <c r="A2" s="11" t="inlineStr">
        <is>
          <t>M1</t>
        </is>
      </c>
      <c r="B2" s="12" t="inlineStr">
        <is>
          <t>Macro</t>
        </is>
      </c>
      <c r="C2" s="12" t="inlineStr">
        <is>
          <t>No mockups for onboarding or manual-add screens.</t>
        </is>
      </c>
      <c r="D2" s="12" t="inlineStr">
        <is>
          <t>Agreed — three additions: (1) an Onboarding flow map screen showing the full first-run sequence step by step (intro → intents multi-select → stage → fast-path/connect/skip → Home); (2) a wireframed 'Add or edit an account by hand' screen with per-class dynamic fields; (3) the existing income capture screen already covers retirement income entry.</t>
        </is>
      </c>
      <c r="E2" s="13" t="inlineStr">
        <is>
          <t>2 NEW screens + flow map.</t>
        </is>
      </c>
    </row>
    <row r="3" ht="84" customHeight="1">
      <c r="A3" s="11" t="inlineStr">
        <is>
          <t>M2</t>
        </is>
      </c>
      <c r="B3" s="12" t="inlineStr">
        <is>
          <t>Macro</t>
        </is>
      </c>
      <c r="C3" s="12" t="inlineStr">
        <is>
          <t>Continue buttons must never hide behind the keyboard.</t>
        </is>
      </c>
      <c r="D3" s="12" t="inlineStr">
        <is>
          <t>Made a hard, testable rule: every input screen gets a 'keyboard open' state — the primary button stays pinned above the keyboard (or the field auto-scrolls into view). Added to the UX accessibility GATE checklist (it's a check, not a hope) — this bug class bit the live app before.</t>
        </is>
      </c>
      <c r="E3" s="13" t="inlineStr">
        <is>
          <t>UX gate rule + keyboard state on all input screens.</t>
        </is>
      </c>
    </row>
    <row r="4" ht="84" customHeight="1">
      <c r="A4" s="11" t="inlineStr">
        <is>
          <t>M3</t>
        </is>
      </c>
      <c r="B4" s="12" t="inlineStr">
        <is>
          <t>Macro</t>
        </is>
      </c>
      <c r="C4" s="12" t="inlineStr">
        <is>
          <t>No flow to add day-to-day expenses.</t>
        </is>
      </c>
      <c r="D4" s="12" t="inlineStr">
        <is>
          <t>Designed: Quick-add expense sheet (see comment 30).</t>
        </is>
      </c>
      <c r="E4" s="13" t="inlineStr">
        <is>
          <t>NEW screen.</t>
        </is>
      </c>
    </row>
    <row r="5" ht="84" customHeight="1">
      <c r="A5" s="11" t="inlineStr">
        <is>
          <t>M4</t>
        </is>
      </c>
      <c r="B5" s="12" t="inlineStr">
        <is>
          <t>Macro</t>
        </is>
      </c>
      <c r="C5" s="12" t="inlineStr">
        <is>
          <t>NW is on Home — switch the top chip to Add expense or something else?</t>
        </is>
      </c>
      <c r="D5" s="12" t="inlineStr">
        <is>
          <t>PROPOSAL (your call): replace the top-bar net-worth chip with a global '+' quick-add button — one tap opens the quick-add sheet with EXPENSE as the big default option, then 'a bill · an account · money in' beneath. Rationale: the chip duplicates Home and the Net worth tab; logging spend is the most frequent daily action and pairs perfectly with safe-to-spend on the retired lens. Removing the chip does not break the net-worth consistency test (it pins Home = Net worth tab).</t>
        </is>
      </c>
      <c r="E5" s="13" t="inlineStr">
        <is>
          <t>DECIDED with the founder 2026-07-12: a '+ Expense' button (labeled, never a bare '+'), floating bottom-right in the thumb zone, on Home + Cash flow only; opens the expense form directly. Net-worth chip removed from the top bar. The founder's plain-language improvement ('+ Expense', not generic '+ Add') adopted.</t>
        </is>
      </c>
    </row>
    <row r="6" ht="84" customHeight="1">
      <c r="A6" s="11" t="inlineStr">
        <is>
          <t>1</t>
        </is>
      </c>
      <c r="B6" s="12" t="inlineStr">
        <is>
          <t>Home · working hero</t>
        </is>
      </c>
      <c r="C6" s="12" t="inlineStr">
        <is>
          <t>Triangle should be '(green) up $11,200'; 'Will it last?' unclear — retirement? till what age?; info dots for investments/market/net worth.</t>
        </is>
      </c>
      <c r="D6" s="12" t="inlineStr">
        <is>
          <t>Adopted, all three. (1) The direction mark is now icon + color + word together: '▲ (green) up' — color never carries the meaning alone (colorblind rule), but it IS green for sighted users. (2) The old strip name 'Will it last?' is renamed everywhere to 'Will my money last? — to age 92' (the age is the plan-to age you set, shown right in the strip) on Home, Cash flow and the Plan hub. (3) Info dots added beside Investments (what counts), 'the market' (which index), and Net worth (own − owe).</t>
        </is>
      </c>
      <c r="E6" s="13" t="inlineStr">
        <is>
          <t>Hero element spec + 3 new info-dot entries; strip renamed on 3 tabs.</t>
        </is>
      </c>
    </row>
    <row r="7" ht="84" customHeight="1">
      <c r="A7" s="11" t="inlineStr">
        <is>
          <t>2</t>
        </is>
      </c>
      <c r="B7" s="12" t="inlineStr">
        <is>
          <t>Home · hero total</t>
        </is>
      </c>
      <c r="C7" s="12" t="inlineStr">
        <is>
          <t>Investment = stocks + funds + bonds + alternatives? Excludes cash — right?</t>
        </is>
      </c>
      <c r="D7" s="12" t="inlineStr">
        <is>
          <t>Correct — verified in code: investmentsTotal (src/domain/assets/index.ts:244) sums ONLY stocks/funds + bonds + alternatives (+ 'mixed'). Cash and cash equivalents are excluded (they live in the Cash class; 'investable' is the separate total that includes cash). The new info dot states this on the hero.</t>
        </is>
      </c>
      <c r="E7" s="13" t="inlineStr">
        <is>
          <t>Info dot copy: 'Your investments = stocks &amp; funds + bonds + alternatives. Cash is counted separately.'</t>
        </is>
      </c>
    </row>
    <row r="8" ht="84" customHeight="1">
      <c r="A8" s="11" t="inlineStr">
        <is>
          <t>3</t>
        </is>
      </c>
      <c r="B8" s="12" t="inlineStr">
        <is>
          <t>Home · vs market</t>
        </is>
      </c>
      <c r="C8" s="12" t="inlineStr">
        <is>
          <t>Benchmark is S&amp;P 500? Add info dot.</t>
        </is>
      </c>
      <c r="D8" s="12" t="inlineStr">
        <is>
          <t>Default yes — the comparison uses an S&amp;P 500 index fund (SPY) unless a holding's type maps to a closer yardstick (verified: benchmarkTicker, src/domain/performance/index.ts:132, default 'SPY' with a per-type table). Info dot added: 'the market = the S&amp;P 500, the 500 largest US companies.'</t>
        </is>
      </c>
      <c r="E8" s="13" t="inlineStr">
        <is>
          <t>Info dot added on the comparison line.</t>
        </is>
      </c>
    </row>
    <row r="9" ht="84" customHeight="1">
      <c r="A9" s="11" t="inlineStr">
        <is>
          <t>4</t>
        </is>
      </c>
      <c r="B9" s="12" t="inlineStr">
        <is>
          <t>Home · retired hero wording order</t>
        </is>
      </c>
      <c r="C9" s="12" t="inlineStr">
        <is>
          <t>Norm is 'Social Security + Pension $4,200 (guaranteed)' — source first, amount after, like a paycheck. Do your research.</t>
        </is>
      </c>
      <c r="D9" s="12" t="inlineStr">
        <is>
          <t>You're right — checked pay-stub and benefits-statement conventions: they list the SOURCE first, then the amount ('Social Security … $2,600'). Reordered: the breakdown lines now read 'Social Security $2,600' / 'Pension $1,600' with 'Guaranteed $4,200' as the labeled subtotal beneath them — source-first per line, and the word 'guaranteed' explains the subtotal rather than leading it.</t>
        </is>
      </c>
      <c r="E9" s="13" t="inlineStr">
        <is>
          <t>Retired hero wireframe + Cash flow hero reordered.</t>
        </is>
      </c>
    </row>
    <row r="10" ht="84" customHeight="1">
      <c r="A10" s="11" t="inlineStr">
        <is>
          <t>5</t>
        </is>
      </c>
      <c r="B10" s="12" t="inlineStr">
        <is>
          <t>Home · safe draw vs big bill</t>
        </is>
      </c>
      <c r="C10" s="12" t="inlineStr">
        <is>
          <t>What if safe draw is less than the big bill? Where is that information?</t>
        </is>
      </c>
      <c r="D10" s="12" t="inlineStr">
        <is>
          <t>Designed as the 'negative month': when bills landing that month exceed guaranteed income + safe draw, the month's number shows as a real minus with a word flag and one sentence naming the bill and whether the year still covers it — on the Home hero caption, the Cash flow bar, and the Month detail (which shows the full arithmetic). Never smoothed away, never clipped to zero. Added a pointer in the Home hero states so this is explicit.</t>
        </is>
      </c>
      <c r="E10" s="13" t="inlineStr">
        <is>
          <t>Home hero state 'big-bill month exceeds income' added with the caption example.</t>
        </is>
      </c>
    </row>
    <row r="11" ht="84" customHeight="1">
      <c r="A11" s="11" t="inlineStr">
        <is>
          <t>6</t>
        </is>
      </c>
      <c r="B11" s="12" t="inlineStr">
        <is>
          <t>Home · Worth-a-look copy</t>
        </is>
      </c>
      <c r="C11" s="12" t="inlineStr">
        <is>
          <t>How are responses formulated — LLM or pre-crafted?</t>
        </is>
      </c>
      <c r="D11" s="12" t="inlineStr">
        <is>
          <t>Pre-crafted, always. Every sentence in the app is a fixed, human-written template with computed numbers filled in ('Your usual withdrawal is about {X}. This one is {N} times that.') — no AI-generated text anywhere in v1. That's deliberate: deterministic copy can be reviewed word-by-word for the never-advise rule, never hallucinates, and costs nothing per user. Now stated as a design principle in both docs.</t>
        </is>
      </c>
      <c r="E11" s="13" t="inlineStr">
        <is>
          <t>Principle added: 'All app copy = reviewed templates + computed numbers; no AI-generated text in v1.'</t>
        </is>
      </c>
    </row>
    <row r="12" ht="84" customHeight="1">
      <c r="A12" s="11" t="inlineStr">
        <is>
          <t>7</t>
        </is>
      </c>
      <c r="B12" s="12" t="inlineStr">
        <is>
          <t>First-run · what did you come for</t>
        </is>
      </c>
      <c r="C12" s="12" t="inlineStr">
        <is>
          <t>Should be multi-select (a retired person may also want growth). And should we first tell the user what FinWise can do?</t>
        </is>
      </c>
      <c r="D12" s="12" t="inlineStr">
        <is>
          <t>Both adopted. (1) The intent question is now 'pick all that apply' (multi-select chips) — intents order suggestions, the separate stage question still picks the lens. (2) A one-screen 'what FinWise can do' intro now precedes it: three plain promises (your whole money picture · what needs your attention, in dollars · whether your money will last, as honest odds) with Continue — value first, questions second.</t>
        </is>
      </c>
      <c r="E12" s="13" t="inlineStr">
        <is>
          <t>First-run screen: multi-select + new intro step in the onboarding flow map (new screen).</t>
        </is>
      </c>
    </row>
    <row r="13" ht="84" customHeight="1">
      <c r="A13" s="11" t="inlineStr">
        <is>
          <t>8</t>
        </is>
      </c>
      <c r="B13" s="12" t="inlineStr">
        <is>
          <t>First-run · just explore</t>
        </is>
      </c>
      <c r="C13" s="12" t="inlineStr">
        <is>
          <t>If user selects 'just explore' — what are the next few screens?</t>
        </is>
      </c>
      <c r="D13" s="12" t="inlineStr">
        <is>
          <t>Now specified step-by-step: Skip → Home in its honest empty state (two doors + what-you'll-see list) → every tab is tappable and shows its own empty state with one action (Net worth: 'Add or connect an account'; Invest: 'Add an investment / Import'; Cash flow: 'Tell us what you earn' or the retired income fast-path; Plan: the three starter questions). No tab dead-ends; no demo data pretending to be theirs.</t>
        </is>
      </c>
      <c r="E13" s="13" t="inlineStr">
        <is>
          <t>Just-explore sequence written into the first-run screen's states + the onboarding flow map.</t>
        </is>
      </c>
    </row>
    <row r="14" ht="84" customHeight="1">
      <c r="A14" s="11" t="inlineStr">
        <is>
          <t>9</t>
        </is>
      </c>
      <c r="B14" s="12" t="inlineStr">
        <is>
          <t>First-run · copy</t>
        </is>
      </c>
      <c r="C14" s="12" t="inlineStr">
        <is>
          <t>'Your whole picture' unclear — maybe 'your entire finance picture'? 'The few things need you, in dollars' — what does 'in dollars' mean?</t>
        </is>
      </c>
      <c r="D14" s="12" t="inlineStr">
        <is>
          <t>Reworded: 'Your whole money picture in one place' and 'The few things that need your attention — each with a dollar amount, so you can size it at a glance.'</t>
        </is>
      </c>
      <c r="E14" s="13" t="inlineStr">
        <is>
          <t>Copy updated on first-run + intro.</t>
        </is>
      </c>
    </row>
    <row r="15" ht="84" customHeight="1">
      <c r="A15" s="11" t="inlineStr">
        <is>
          <t>10</t>
        </is>
      </c>
      <c r="B15" s="12" t="inlineStr">
        <is>
          <t>Home · hidden balances</t>
        </is>
      </c>
      <c r="C15" s="12" t="inlineStr">
        <is>
          <t>No refresh date and time on this variant.</t>
        </is>
      </c>
      <c r="D15" s="12" t="inlineStr">
        <is>
          <t>Fixed — the freshness stamp ('prices as of 4:00pm today' / 'as of Jun 27') now appears on EVERY Home variant including balances-hidden; masking hides amounts, never honesty about freshness.</t>
        </is>
      </c>
      <c r="E15" s="13" t="inlineStr">
        <is>
          <t>Hidden-balances wireframe + rule: freshness line survives masking.</t>
        </is>
      </c>
    </row>
    <row r="16" ht="84" customHeight="1">
      <c r="A16" s="11" t="inlineStr">
        <is>
          <t>11</t>
        </is>
      </c>
      <c r="B16" s="12" t="inlineStr">
        <is>
          <t>Home · freshness line placement</t>
        </is>
      </c>
      <c r="C16" s="12" t="inlineStr">
        <is>
          <t>Mockups disagree — is the date/time after 'your investments' or after 'net worth'?</t>
        </is>
      </c>
      <c r="D16" s="12" t="inlineStr">
        <is>
          <t>Standardized: the freshness stamp sits directly UNDER the hero number (after the hero block, before the Net worth line) on every variant — closest to the biggest number it describes. All wireframes now match.</t>
        </is>
      </c>
      <c r="E16" s="13" t="inlineStr">
        <is>
          <t>All Home wireframes aligned to one placement.</t>
        </is>
      </c>
    </row>
    <row r="17" ht="84" customHeight="1">
      <c r="A17" s="11" t="inlineStr">
        <is>
          <t>12</t>
        </is>
      </c>
      <c r="B17" s="12" t="inlineStr">
        <is>
          <t>Home · insights source</t>
        </is>
      </c>
      <c r="C17" s="12" t="inlineStr">
        <is>
          <t>Where does comparative data come from? Do we have an analytical engine analyzing imported data?</t>
        </is>
      </c>
      <c r="D17" s="12" t="inlineStr">
        <is>
          <t>Yes, and it's deliberately simple: a rule-based engine (buildInsights, src/domain/insights/index.ts) computes ~10 inputs from your own data (cash total, concentration %, 401(k) headroom vs the IRS table, plan odds…) and fires fixed rules with thresholds — no machine learning, no external comparisons except published constants (IRS limits, index prices). Every insight is reproducible arithmetic on your numbers; the new engine-note states this.</t>
        </is>
      </c>
      <c r="E17" s="13" t="inlineStr">
        <is>
          <t>Engine note added (rule-based, deterministic, inputs listed).</t>
        </is>
      </c>
    </row>
    <row r="18" ht="84" customHeight="1">
      <c r="A18" s="11" t="inlineStr">
        <is>
          <t>13</t>
        </is>
      </c>
      <c r="B18" s="12" t="inlineStr">
        <is>
          <t>Net worth · retirement grouping</t>
        </is>
      </c>
      <c r="C18" s="12" t="inlineStr">
        <is>
          <t>Did strategy say people think in retirement vs non-retirement accounts? If yes, label retirement accounts. Info dots for all classes.</t>
        </is>
      </c>
      <c r="D18" s="12" t="inlineStr">
        <is>
          <t>The strategy's tax-drag/wrapper thinking implies it, and the taxonomy already carries the axis (every account has a wrapper: taxable / pre-tax / Roth). Adopted: account rows now show a wrapper tag ('· 401(k)', '· IRA', '· Roth') and the expanded list gains a third grouping toggle 'By type: Retirement / Non-retirement' next to By class / By institution. Info dots added for every class row (cash incl. equivalents, stocks &amp; funds, bonds, alternatives, real estate).</t>
        </is>
      </c>
      <c r="E18" s="13" t="inlineStr">
        <is>
          <t>Wrapper tags + third grouping toggle + class info dots.</t>
        </is>
      </c>
    </row>
    <row r="19" ht="84" customHeight="1">
      <c r="A19" s="11" t="inlineStr">
        <is>
          <t>14</t>
        </is>
      </c>
      <c r="B19" s="12" t="inlineStr">
        <is>
          <t>Net worth · trend</t>
        </is>
      </c>
      <c r="C19" s="12" t="inlineStr">
        <is>
          <t>'Plain line' means line graph?</t>
        </is>
      </c>
      <c r="D19" s="12" t="inlineStr">
        <is>
          <t>Yes — a simple line graph of the last 12 month-end net-worth values, no axes clutter. Wording fixed to say 'a simple line graph.'</t>
        </is>
      </c>
      <c r="E19" s="13" t="inlineStr">
        <is>
          <t>Element copy clarified.</t>
        </is>
      </c>
    </row>
    <row r="20" ht="84" customHeight="1">
      <c r="A20" s="11" t="inlineStr">
        <is>
          <t>15</t>
        </is>
      </c>
      <c r="B20" s="12" t="inlineStr">
        <is>
          <t>Net worth · manual update</t>
        </is>
      </c>
      <c r="C20" s="12" t="inlineStr">
        <is>
          <t>What does the screen look like for a manual update?</t>
        </is>
      </c>
      <c r="D20" s="12" t="inlineStr">
        <is>
          <t>Now wireframed — part of the new 'Add or edit an account by hand' screen (macro item 1): edit mode shows the same per-class fields pre-filled, with balance + 'value as of' saved together, and the keyboard-safe Save button.</t>
        </is>
      </c>
      <c r="E20" s="13" t="inlineStr">
        <is>
          <t>NEW screen: manual add/edit account (see macro additions).</t>
        </is>
      </c>
    </row>
    <row r="21" ht="84" customHeight="1">
      <c r="A21" s="11" t="inlineStr">
        <is>
          <t>16</t>
        </is>
      </c>
      <c r="B21" s="12" t="inlineStr">
        <is>
          <t>Net worth · add-account fields</t>
        </is>
      </c>
      <c r="C21" s="12" t="inlineStr">
        <is>
          <t>Separate or dynamic screen per asset class, collecting the right required info?</t>
        </is>
      </c>
      <c r="D21" s="12" t="inlineStr">
        <is>
          <t>One dynamic screen, fields adapt by class (designed in the new manual-add screen): pick what it is first, then only that class's fields appear — cash: institution + balance (+ rate optional); stocks/funds: institution + balance or holdings; bonds: the existing bond form; alternatives: type + value; real estate: value + what's owed on it; retirement wrappers: the same + wrapper choice. Required fields marked; nothing irrelevant shown.</t>
        </is>
      </c>
      <c r="E21" s="13" t="inlineStr">
        <is>
          <t>NEW screen spec with the per-class field table.</t>
        </is>
      </c>
    </row>
    <row r="22" ht="84" customHeight="1">
      <c r="A22" s="11" t="inlineStr">
        <is>
          <t>17</t>
        </is>
      </c>
      <c r="B22" s="12" t="inlineStr">
        <is>
          <t>Net worth · cushion</t>
        </is>
      </c>
      <c r="C22" s="12" t="inlineStr">
        <is>
          <t>Cash = cash + cash equivalents?</t>
        </is>
      </c>
      <c r="D22" s="12" t="inlineStr">
        <is>
          <t>Yes — the cushion uses cashTotal, the cash CLASS, which includes equivalents (savings, high-yield savings, money market, CDs, T-bills under 12 months). Same definition as the Cash row above it — one total. Info dot added.</t>
        </is>
      </c>
      <c r="E22" s="13" t="inlineStr">
        <is>
          <t>Info dot on the cushion card.</t>
        </is>
      </c>
    </row>
    <row r="23" ht="84" customHeight="1">
      <c r="A23" s="11" t="inlineStr">
        <is>
          <t>18</t>
        </is>
      </c>
      <c r="B23" s="12" t="inlineStr">
        <is>
          <t>Net worth · path ahead</t>
        </is>
      </c>
      <c r="C23" s="12" t="inlineStr">
        <is>
          <t>Is the display a graph, table, or numbers?</t>
        </is>
      </c>
      <c r="D23" s="12" t="inlineStr">
        <is>
          <t>The row itself is one line + chevron; tapping opens Plan's will-it-last detail, which shows the GRAPH (three labeled lines: bad-markets / typical / good-markets) with a 'view as numbers' table alternative. Clarified in the element.</t>
        </is>
      </c>
      <c r="E23" s="13" t="inlineStr">
        <is>
          <t>Element copy: link-row → band chart with table fallback.</t>
        </is>
      </c>
    </row>
    <row r="24" ht="84" customHeight="1">
      <c r="A24" s="11" t="inlineStr">
        <is>
          <t>19</t>
        </is>
      </c>
      <c r="B24" s="12" t="inlineStr">
        <is>
          <t>Net worth · import format</t>
        </is>
      </c>
      <c r="C24" s="12" t="inlineStr">
        <is>
          <t>Do we need a specific file format? Add info dot with file type and must-have columns.</t>
        </is>
      </c>
      <c r="D24" s="12" t="inlineStr">
        <is>
          <t>Adopted: info dot on the import screen — 'A CSV file (the standard export from your brokerage). Must have: symbol and quantity columns. Nice to have: cost, value, purchase date. We handle most brokerage layouts and odd encodings automatically.' The parser genuinely handles varied layouts (header detection, encodings, quoted fields) — verified earlier.</t>
        </is>
      </c>
      <c r="E24" s="13" t="inlineStr">
        <is>
          <t>Info dot added to Import v2.</t>
        </is>
      </c>
    </row>
    <row r="25" ht="84" customHeight="1">
      <c r="A25" s="11" t="inlineStr">
        <is>
          <t>20</t>
        </is>
      </c>
      <c r="B25" s="12" t="inlineStr">
        <is>
          <t>Connect · what's captured</t>
        </is>
      </c>
      <c r="C25" s="12" t="inlineStr">
        <is>
          <t>Only balance, or individual holdings (AMZN 100 shares…)?</t>
        </is>
      </c>
      <c r="D25" s="12" t="inlineStr">
        <is>
          <t>Both, by account type: bank accounts sync balances; investment accounts sync HOLDINGS (each position with shares) plus balance, via the connection's investments data — so a connected brokerage shows per-holding performance exactly like a hand-tracked one. Spec line added to the accounts-found step.</t>
        </is>
      </c>
      <c r="E25" s="13" t="inlineStr">
        <is>
          <t>F1 spec + accounts-found element updated: holdings-level for investment accounts.</t>
        </is>
      </c>
    </row>
    <row r="26" ht="122" customHeight="1">
      <c r="A26" s="11" t="inlineStr">
        <is>
          <t>21</t>
        </is>
      </c>
      <c r="B26" s="12" t="inlineStr">
        <is>
          <t>Net worth · dividends &amp; capital gains</t>
        </is>
      </c>
      <c r="C26" s="12" t="inlineStr">
        <is>
          <t>Is a dividend added to income or cash? Is capital gain captured and displayed anywhere?</t>
        </is>
      </c>
      <c r="D26" s="12" t="inlineStr">
        <is>
          <t>Dividend: recorded as a DIVIDEND transaction — cash lands IN the account (or becomes shares if reinvested); verified in the ledger engine. It shows in the account's activity, and NEW in v1.1: also rolled up on the Invest tab's 'where the return came from' breakdown (see comment 24). It is NOT silently counted as spendable income in Cash flow — investment income shows as its own labeled line there. Capital gains: realized gains (from sales) now have a designed home in the same breakdown; unrealized ('on paper') gains were already shown per holding.</t>
        </is>
      </c>
      <c r="E26" s="13" t="inlineStr">
        <is>
          <t>NEW 'Where the return came from' element (Invest): price change on paper · realized on sales · dividends · interest. Cash flow gains a labeled 'investment income' line.</t>
        </is>
      </c>
    </row>
    <row r="27" ht="84" customHeight="1">
      <c r="A27" s="11" t="inlineStr">
        <is>
          <t>22</t>
        </is>
      </c>
      <c r="B27" s="12" t="inlineStr">
        <is>
          <t>Net worth · bonds via connection</t>
        </is>
      </c>
      <c r="C27" s="12" t="inlineStr">
        <is>
          <t>Imported directly via Plaid? Does it capture bond interest payments?</t>
        </is>
      </c>
      <c r="D27" s="12" t="inlineStr">
        <is>
          <t>Where the institution reports them, yes — connected investment accounts include bond positions, and interest/coupon payments arrive as transactions (the ledger already has INTEREST and COUPON types; verified). Manually-tracked bonds record coupons by hand. Both paths land in the same activity history and the new return breakdown.</t>
        </is>
      </c>
      <c r="E27" s="13" t="inlineStr">
        <is>
          <t>F1 spec note: bond positions + interest via connection where reported.</t>
        </is>
      </c>
    </row>
    <row r="28" ht="84" customHeight="1">
      <c r="A28" s="11" t="inlineStr">
        <is>
          <t>23</t>
        </is>
      </c>
      <c r="B28" s="12" t="inlineStr">
        <is>
          <t>Net worth · bond editor provenance</t>
        </is>
      </c>
      <c r="C28" s="12" t="inlineStr">
        <is>
          <t>Is this manual, imported, or connected?</t>
        </is>
      </c>
      <c r="D28" s="12" t="inlineStr">
        <is>
          <t>The bond EDITOR is the manual path. A connected or imported bond shows the same detail page with its provenance chip ('Connected · read-only' / 'Imported · Jun 12') and its facts pre-filled; you edit only what the source doesn't provide. Clarified on the editor's header spec.</t>
        </is>
      </c>
      <c r="E28" s="13" t="inlineStr">
        <is>
          <t>Provenance chip added to bond/alternative editor headers.</t>
        </is>
      </c>
    </row>
    <row r="29" ht="84" customHeight="1">
      <c r="A29" s="11" t="inlineStr">
        <is>
          <t>24</t>
        </is>
      </c>
      <c r="B29" s="12" t="inlineStr">
        <is>
          <t>Invest · return composition</t>
        </is>
      </c>
      <c r="C29" s="12" t="inlineStr">
        <is>
          <t>Does total return capture realized and unrealized? Where do realized P/L, unrealized P/L, dividends, interest show separately?</t>
        </is>
      </c>
      <c r="D29" s="12" t="inlineStr">
        <is>
          <t>Honest answer: today's code computes UNREALIZED only (verified — buildPerformance derives from open lots + prices; sales and dividends aren't rolled into the headline). v1.1 designs the missing piece: a 'Where the return came from' card on Invest main (and per holding): price change on paper · realized on sales · dividends · interest — the four lines sum to the total for the period. Marked net-new for the build.</t>
        </is>
      </c>
      <c r="E29" s="13" t="inlineStr">
        <is>
          <t>NEW element + engine note (return composition, net-new); per-holding dividends line (comment 28).</t>
        </is>
      </c>
    </row>
    <row r="30" ht="84" customHeight="1">
      <c r="A30" s="11" t="inlineStr">
        <is>
          <t>25</t>
        </is>
      </c>
      <c r="B30" s="12" t="inlineStr">
        <is>
          <t>Invest · long holdings list</t>
        </is>
      </c>
      <c r="C30" s="12" t="inlineStr">
        <is>
          <t>Expandable/collapsible? People can have 20-30+ holdings.</t>
        </is>
      </c>
      <c r="D30" s="12" t="inlineStr">
        <is>
          <t>Adopted: each class group is collapsible, opens showing the top 5 by value with 'show all 27' — the glance stays a glance at any portfolio size.</t>
        </is>
      </c>
      <c r="E30" s="13" t="inlineStr">
        <is>
          <t>List spec: collapsible groups, top-5 default, show-all row.</t>
        </is>
      </c>
    </row>
    <row r="31" ht="84" customHeight="1">
      <c r="A31" s="11" t="inlineStr">
        <is>
          <t>26</t>
        </is>
      </c>
      <c r="B31" s="12" t="inlineStr">
        <is>
          <t>Invest · what-if objective</t>
        </is>
      </c>
      <c r="C31" s="12" t="inlineStr">
        <is>
          <t>What's the objective of 'what if' — evaluating if I'd bought NVDA instead of AMZN 6 months ago, or something different?</t>
        </is>
      </c>
      <c r="D31" s="12" t="inlineStr">
        <is>
          <t>There are two, deliberately separate: LOOK BACK answers your example — 'what if I'd moved money from A to B six months ago' using real past prices (facts). WHAT IF I ADD MORE looks FORWARD — 'what if I save $750/month more' (estimate range). The entry cards now say it in their titles: 'Look back — what a past move would have done' vs 'Look ahead — what saving more could do.'</t>
        </is>
      </c>
      <c r="E31" s="13" t="inlineStr">
        <is>
          <t>Entry-card copy disambiguated (back = facts, ahead = estimate).</t>
        </is>
      </c>
    </row>
    <row r="32" ht="84" customHeight="1">
      <c r="A32" s="11" t="inlineStr">
        <is>
          <t>27</t>
        </is>
      </c>
      <c r="B32" s="12" t="inlineStr">
        <is>
          <t>Invest · retirement vs other savings</t>
        </is>
      </c>
      <c r="C32" s="12" t="inlineStr">
        <is>
          <t>How do we evaluate if something is saved toward retirement vs other goals? Is NW = retire, or retire = assets − home − car?</t>
        </is>
      </c>
      <c r="D32" s="12" t="inlineStr">
        <is>
          <t>Neither — it's explicit, per account: every investment account carries a retirement earmark (a percent, defaulted sensibly: 401(k)/IRA = 100%, taxable brokerage lower, home/car = 0). The nest egg = the earmarked share of financial accounts only — never the house or car, and never simply net worth. You can edit any account's earmark. Info dot added where the nest egg appears.</t>
        </is>
      </c>
      <c r="E32" s="13" t="inlineStr">
        <is>
          <t>Earmark explanation + info dot; earmark edit surfaced on account detail.</t>
        </is>
      </c>
    </row>
    <row r="33" ht="84" customHeight="1">
      <c r="A33" s="11" t="inlineStr">
        <is>
          <t>28</t>
        </is>
      </c>
      <c r="B33" s="12" t="inlineStr">
        <is>
          <t>Invest · equity detail dividends</t>
        </is>
      </c>
      <c r="C33" s="12" t="inlineStr">
        <is>
          <t>Stocks with dividends — will it show dividends received?</t>
        </is>
      </c>
      <c r="D33" s="12" t="inlineStr">
        <is>
          <t>Yes — v1.1 adds a 'Dividends received' line to the equity holding detail (from the ledger's DIVIDEND rows for that ticker: this year + all time), feeding the same return-composition card.</t>
        </is>
      </c>
      <c r="E33" s="13" t="inlineStr">
        <is>
          <t>Equity detail: dividends-received line added.</t>
        </is>
      </c>
    </row>
    <row r="34" ht="84" customHeight="1">
      <c r="A34" s="11" t="inlineStr">
        <is>
          <t>29</t>
        </is>
      </c>
      <c r="B34" s="12" t="inlineStr">
        <is>
          <t>Invest · manual txn on connected account</t>
        </is>
      </c>
      <c r="C34" s="12" t="inlineStr">
        <is>
          <t>If an account is connected but someone adds a transaction manually — allowed? How does reconciliation with Plaid data work?</t>
        </is>
      </c>
      <c r="D34" s="12" t="inlineStr">
        <is>
          <t>Allowed but guarded (new rule in the F1 spec): on a connected account, a hand-added transaction is tagged 'entered by you'; when the connection later delivers a matching transaction (same amount, ±3 days, similar description) the app asks once — 'same transaction?' — and merges on yes, exactly like the account-level merge. Balances always defer to the connection's truth on next sync, so a double-entry can nudge history but never permanently distorts the balance.</t>
        </is>
      </c>
      <c r="E34" s="13" t="inlineStr">
        <is>
          <t>F1 sync spec: transaction-level dedup rule (match → ask → merge).</t>
        </is>
      </c>
    </row>
    <row r="35" ht="84" customHeight="1">
      <c r="A35" s="11" t="inlineStr">
        <is>
          <t>30</t>
        </is>
      </c>
      <c r="B35" s="12" t="inlineStr">
        <is>
          <t>Cash flow · daily expenses &amp; income</t>
        </is>
      </c>
      <c r="C35" s="12" t="inlineStr">
        <is>
          <t>What's the flow to add day-to-day expenses (grocery, gas)? And to add income?</t>
        </is>
      </c>
      <c r="D35" s="12" t="inlineStr">
        <is>
          <t>Your macro item 3 — now designed. EXPENSES: the new Quick-add expense sheet — amount → category chips → done (optional note/receipt scan), two taps from anywhere via the new top-bar '+'; it feeds 'spent so far' and the budget actuals. INCOME: retirement income → the Monthly income screen (already designed); working income (salary, bonus) → the income editor reachable from Cash flow's setup and Settings; one-off income → the same '+' sheet ('money in').</t>
        </is>
      </c>
      <c r="E35" s="13" t="inlineStr">
        <is>
          <t>NEW Quick-add expense screen + '+' entry; income paths named on Cash flow.</t>
        </is>
      </c>
    </row>
    <row r="36" ht="84" customHeight="1">
      <c r="A36" s="11" t="inlineStr">
        <is>
          <t>31</t>
        </is>
      </c>
      <c r="B36" s="12" t="inlineStr">
        <is>
          <t>Plan · will-it-last naming</t>
        </is>
      </c>
      <c r="C36" s="12" t="inlineStr">
        <is>
          <t>Should specify it's about retirement — what will last, till when?</t>
        </is>
      </c>
      <c r="D36" s="12" t="inlineStr">
        <is>
          <t>Adopted (same as comment 1): 'Will my money last? — to age 92' everywhere, with the plain sentence beneath the headline: 'In 84 of 100 possible market futures, your money lasts to age 92 — the age you set.'</t>
        </is>
      </c>
      <c r="E36" s="13" t="inlineStr">
        <is>
          <t>Renamed on every surface; age always shown.</t>
        </is>
      </c>
    </row>
    <row r="37" ht="84" customHeight="1">
      <c r="A37" s="11" t="inlineStr">
        <is>
          <t>32</t>
        </is>
      </c>
      <c r="B37" s="12" t="inlineStr">
        <is>
          <t>Plan · Social Security math</t>
        </is>
      </c>
      <c r="C37" s="12" t="inlineStr">
        <is>
          <t>How is the amount calculated by age? Is this the Social Security Administration's formula?</t>
        </is>
      </c>
      <c r="D37" s="12" t="inlineStr">
        <is>
          <t>Yes — the standard Social Security Administration rules applied to YOUR statement amount: claiming before your full retirement age reduces the check about 6-7% per year early (to ~70% at 62); waiting past it adds 8% per year (to ~124% at 70). Info dot added citing the source ('the standard SSA early-claiming reduction and delayed credits — the same table on ssa.gov'), and the lifetime totals are that monthly amount × months to the age you set.</t>
        </is>
      </c>
      <c r="E37" s="13" t="inlineStr">
        <is>
          <t>Info dot + source note on the compare table.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41"/>
  <sheetViews>
    <sheetView workbookViewId="0">
      <pane ySplit="1" topLeftCell="A2" activePane="bottomLeft" state="frozen"/>
      <selection pane="bottomLeft" activeCell="A1" sqref="A1"/>
    </sheetView>
  </sheetViews>
  <sheetFormatPr baseColWidth="10" defaultColWidth="8.83203125" defaultRowHeight="15"/>
  <cols>
    <col width="11" customWidth="1" min="1" max="1"/>
    <col width="34" customWidth="1" min="2" max="2"/>
    <col width="12" customWidth="1" min="3" max="3"/>
    <col width="60" customWidth="1" min="4" max="4"/>
    <col width="44" customWidth="1" min="5" max="5"/>
    <col width="11" customWidth="1" min="6" max="6"/>
    <col width="24" customWidth="1" min="7" max="7"/>
    <col width="58" customWidth="1" min="8" max="8"/>
  </cols>
  <sheetData>
    <row r="1" ht="26" customHeight="1">
      <c r="A1" s="1" t="inlineStr">
        <is>
          <t>Tab</t>
        </is>
      </c>
      <c r="B1" s="1" t="inlineStr">
        <is>
          <t>Screen</t>
        </is>
      </c>
      <c r="C1" s="1" t="inlineStr">
        <is>
          <t>Lens</t>
        </is>
      </c>
      <c r="D1" s="1" t="inlineStr">
        <is>
          <t>Purpose (one line)</t>
        </is>
      </c>
      <c r="E1" s="1" t="inlineStr">
        <is>
          <t>Build note</t>
        </is>
      </c>
      <c r="F1" s="1" t="inlineStr">
        <is>
          <t>✅ Approve?</t>
        </is>
      </c>
      <c r="G1" s="1" t="inlineStr">
        <is>
          <t>💬 Your comments</t>
        </is>
      </c>
      <c r="H1" s="16" t="inlineStr">
        <is>
          <t>🔨 Build status · 2026-07-14 (Build #41 · v1.1.0 on TestFlight)</t>
        </is>
      </c>
    </row>
    <row r="2" ht="44" customHeight="1">
      <c r="A2" s="2" t="inlineStr">
        <is>
          <t>Home</t>
        </is>
      </c>
      <c r="B2" s="2" t="inlineStr">
        <is>
          <t>Home — still-working hero (Grow &amp; Track)</t>
        </is>
      </c>
      <c r="C2" s="4" t="inlineStr">
        <is>
          <t>working</t>
        </is>
      </c>
      <c r="D2" s="4" t="inlineStr">
        <is>
          <t>The two-second glance for someone still working (55-65): how their investments are actually growing, whether they are ahead of the market, the three things that need their attention (each with a dollar figure), and a calm will-it-last strip that links to its real home in Plan. Home only displays num</t>
        </is>
      </c>
      <c r="E2" s="4" t="inlineStr">
        <is>
          <t>Mostly REUSE: every number already has a helper (resolveNetWorthRows, investmentsTotal, buildPerformance/portfolioTrend, buildInsights, stored RetirementState, priceFreshness, useMoney). NET-NEW: the lens resolver, two insight rules (required withdrawal due, claim window), F10 card injection, and the new layout replacing src/screens/HomeScreen.tsx. Pin with a cross-screen agreement test extending src/domain/home_integration.test.ts.</t>
        </is>
      </c>
      <c r="F2" s="4" t="n"/>
      <c r="G2" s="4" t="n"/>
      <c r="H2" s="4" t="inlineStr">
        <is>
          <t>✅ Built — investments hero + what-needs-you + will-it-last; Home=Invest pin tested</t>
        </is>
      </c>
    </row>
    <row r="3" ht="44" customHeight="1">
      <c r="A3" s="2" t="inlineStr">
        <is>
          <t>Home</t>
        </is>
      </c>
      <c r="B3" s="2" t="inlineStr">
        <is>
          <t>Home — retired hero (Safe to spend)</t>
        </is>
      </c>
      <c r="C3" s="4" t="inlineStr">
        <is>
          <t>retired</t>
        </is>
      </c>
      <c r="D3" s="4" t="inlineStr">
        <is>
          <t>The retiree's monthly paycheck at a glance: what's safe to spend THIS month (named month, real timing — never a flat yearly average), split into guaranteed money coming in and a safe draw from savings, plus the year figure. Calm by design: what needs you, and the steady will-it-last read.</t>
        </is>
      </c>
      <c r="E3" s="4" t="inlineStr">
        <is>
          <t>Hero card and its numbers are NET-NEW (F5 engine — the headline build of this release; PRD marks it MISSING). List, strip, header, tab bar REUSE screen 1 components. Do not wire the hero to cashflowYear's flat scalar — that is exactly the fake-average Principle 5 forbids.</t>
        </is>
      </c>
      <c r="F3" s="4" t="n"/>
      <c r="G3" s="4" t="n"/>
      <c r="H3" s="4" t="inlineStr">
        <is>
          <t>✅ Built — the paycheck leads, no flag; upgrade-from-#40 persona tested</t>
        </is>
      </c>
    </row>
    <row r="4" ht="44" customHeight="1">
      <c r="A4" s="2" t="inlineStr">
        <is>
          <t>Home</t>
        </is>
      </c>
      <c r="B4" s="2" t="inlineStr">
        <is>
          <t>Worth a look — transaction detail (F10)</t>
        </is>
      </c>
      <c r="C4" s="4" t="inlineStr">
        <is>
          <t>both</t>
        </is>
      </c>
      <c r="D4" s="4" t="inlineStr">
        <is>
          <t>The calm close-up of a flagged transaction: the plain facts, why it stood out (in one honest comparison), and a two-button resolution. Reassures more than it warns — most flags are the person's own spending. Never alarmist, never the words fraud or alert in v1 copy.</t>
        </is>
      </c>
      <c r="E4" s="4" t="inlineStr">
        <is>
          <t>Entire screen NET-NEW, plus the F10 engine and two new persisted fields (flag record, known-payee list). Reuses Transaction data as-is — no schema change to existing fields. This is the thin v1: one rule set, one card, one detail view; no machine learning, no merchant databases.</t>
        </is>
      </c>
      <c r="F4" s="4" t="n"/>
      <c r="G4" s="4" t="n"/>
      <c r="H4" s="4" t="inlineStr">
        <is>
          <t>✅ Built — engine + detail + slot-1 card; scam/fraud/alert copy test-banned</t>
        </is>
      </c>
    </row>
    <row r="5" ht="44" customHeight="1">
      <c r="A5" s="2" t="inlineStr">
        <is>
          <t>Home</t>
        </is>
      </c>
      <c r="B5" s="2" t="inlineStr">
        <is>
          <t>First run — what did you come for? (sets the lens)</t>
        </is>
      </c>
      <c r="C5" s="4" t="inlineStr">
        <is>
          <t>both</t>
        </is>
      </c>
      <c r="D5" s="4" t="inlineStr">
        <is>
          <t>The progressive first-run from the approved high-level design: two friendly questions — what you came for, and whether you're still working — set the lens (which hero leads Home) and the tab order. Skippable with no dead end; everything is changeable later.</t>
        </is>
      </c>
      <c r="E5" s="4" t="inlineStr">
        <is>
          <t>NET-NEW light screen; closes the gap that the lens resolver read a stage no designed screen captured (verification finding #10). The connect flow itself is on the Net worth tab (already designed).</t>
        </is>
      </c>
      <c r="F5" s="4" t="n"/>
      <c r="G5" s="4" t="n"/>
      <c r="H5" s="4" t="inlineStr">
        <is>
          <t>✅ Built (/first-run + Settings → Your setup); insertion into new-user onboarding pending</t>
        </is>
      </c>
    </row>
    <row r="6" ht="44" customHeight="1">
      <c r="A6" s="2" t="inlineStr">
        <is>
          <t>Home</t>
        </is>
      </c>
      <c r="B6" s="2" t="inlineStr">
        <is>
          <t>Home — first run (nothing connected yet)</t>
        </is>
      </c>
      <c r="C6" s="4" t="inlineStr">
        <is>
          <t>both</t>
        </is>
      </c>
      <c r="D6" s="4" t="inlineStr">
        <is>
          <t>The empty Home never shows fake zeros or demo charts — it makes one promise (your real numbers, read-only) and offers exactly two doors in: connect an institution, or add something by hand. Shows what Home will become so the effort has a visible payoff.</t>
        </is>
      </c>
      <c r="E6" s="4" t="inlineStr">
        <is>
          <t>Layout NET-NEW (simple). Connect button blocks on the F1 seam (net-new, the PRD's top build item); add-by-hand REUSES the existing manual flow, so this screen can ship with by-hand only if F1 lands later — the connect button then reads 'Coming soon' honestly rather than hiding.</t>
        </is>
      </c>
      <c r="F6" s="4" t="n"/>
      <c r="G6" s="4" t="n"/>
      <c r="H6" s="4" t="inlineStr">
        <is>
          <t>🔨 Partial — honest empty state live; the FCC two-door layout pending</t>
        </is>
      </c>
    </row>
    <row r="7" ht="44" customHeight="1">
      <c r="A7" s="2" t="inlineStr">
        <is>
          <t>Home</t>
        </is>
      </c>
      <c r="B7" s="2" t="inlineStr">
        <is>
          <t>Home — balances hidden (mask everything)</t>
        </is>
      </c>
      <c r="C7" s="4" t="inlineStr">
        <is>
          <t>both</t>
        </is>
      </c>
      <c r="D7" s="4" t="inlineStr">
        <is>
          <t>Coffee-shop mode: one tap makes every money amount unreadable over a shoulder while the page stays fully useful — direction words, percentages, and the will-it-last chance remain. Same rule on the retired lens: all four paycheck dollars mask, month name and words stay.</t>
        </is>
      </c>
      <c r="E7" s="4" t="inlineStr">
        <is>
          <t>Pure REUSE: mechanism shipped (mask-ALL fixed in the build-33 round). Home rebuild work = discipline + a test: every new Home component must format money through useMoney(); add a UI test that walks Home with hideBalances on and asserts zero '$' characters render.</t>
        </is>
      </c>
      <c r="F7" s="4" t="n"/>
      <c r="G7" s="4" t="n"/>
      <c r="H7" s="4" t="inlineStr">
        <is>
          <t>✅ Built — the zero-$ mask walk is an automated test</t>
        </is>
      </c>
    </row>
    <row r="8" ht="44" customHeight="1">
      <c r="A8" s="2" t="inlineStr">
        <is>
          <t>Home</t>
        </is>
      </c>
      <c r="B8" s="2" t="inlineStr">
        <is>
          <t>Home — stale connection + partial data</t>
        </is>
      </c>
      <c r="C8" s="4" t="inlineStr">
        <is>
          <t>both</t>
        </is>
      </c>
      <c r="D8" s="4" t="inlineStr">
        <is>
          <t>Honesty when the pipes are imperfect: an old connection gets a calm, specific banner (which institution, since when, one fix button); every number touched by old data carries an 'as of' stamp; and anything we can't stand behind becomes an invitation, never a guess. Show what's true first.</t>
        </is>
      </c>
      <c r="E8" s="4" t="inlineStr">
        <is>
          <t>Banner + balance staleness are NET-NEW and blocked on the F1 Connection entity; price stamps REUSE priceFreshness today (can ship first). The partial-data behaviors are mostly free — the insights engine already skips null inputs; the work is the will-it-last invitation state and the stamp explainer sheet.</t>
        </is>
      </c>
      <c r="F8" s="4" t="n"/>
      <c r="G8" s="4" t="n"/>
      <c r="H8" s="4" t="inlineStr">
        <is>
          <t>🔨 Partial — price freshness live; connection banner waits on the bank-connect build</t>
        </is>
      </c>
    </row>
    <row r="9" ht="44" customHeight="1">
      <c r="A9" s="2" t="inlineStr">
        <is>
          <t>Home</t>
        </is>
      </c>
      <c r="B9" s="2" t="inlineStr">
        <is>
          <t>Idle cash — nudge detail</t>
        </is>
      </c>
      <c r="C9" s="4" t="inlineStr">
        <is>
          <t>both</t>
        </is>
      </c>
      <c r="D9" s="4" t="inlineStr">
        <is>
          <t>The designed landing for Home's idle-cash nudge (previously a dead-end): the fact, which accounts it sits in, and the plain comparison math of what that cash could earn — estimates, named rates, no instruction to act.</t>
        </is>
      </c>
      <c r="E9" s="4" t="inlineStr">
        <is>
          <t>NET-NEW light screen; closes walkthrough dead-end #1 (Home's marquee nudge led to an Invest tab with no cash section).</t>
        </is>
      </c>
      <c r="F9" s="4" t="n"/>
      <c r="G9" s="4" t="n"/>
      <c r="H9" s="4" t="inlineStr">
        <is>
          <t>✅ Built (/idle-cash) — nudge repointed, dead-end closed</t>
        </is>
      </c>
    </row>
    <row r="10" ht="44" customHeight="1">
      <c r="A10" s="2" t="inlineStr">
        <is>
          <t>Home</t>
        </is>
      </c>
      <c r="B10" s="2" t="inlineStr">
        <is>
          <t>401(k) room this year — nudge detail</t>
        </is>
      </c>
      <c r="C10" s="4" t="inlineStr">
        <is>
          <t>working</t>
        </is>
      </c>
      <c r="D10" s="4" t="inlineStr">
        <is>
          <t>The designed landing for Home's 401(k)-room nudge (previously pointing at a legacy screen): the limit, what's in, what's left, the per-month translation, and the honest 'change it at your employer' line. Links to the forward what-if to see the effect of using the room.</t>
        </is>
      </c>
      <c r="E10" s="4" t="inlineStr">
        <is>
          <t>NET-NEW light screen aligned with the live app's contribution-room surface; closes walkthrough dead-end #2.</t>
        </is>
      </c>
      <c r="F10" s="4" t="n"/>
      <c r="G10" s="4" t="n"/>
      <c r="H10" s="4" t="inlineStr">
        <is>
          <t>✅ Built — contribution-room screen + the try-it what-if prefill link</t>
        </is>
      </c>
    </row>
    <row r="11" ht="44" customHeight="1">
      <c r="A11" s="2" t="inlineStr">
        <is>
          <t>Net worth</t>
        </is>
      </c>
      <c r="B11" s="2" t="inlineStr">
        <is>
          <t>Net worth tab — main screen</t>
        </is>
      </c>
      <c r="C11" s="4" t="inlineStr">
        <is>
          <t>both</t>
        </is>
      </c>
      <c r="D11" s="4" t="inlineStr">
        <is>
          <t>One true picture of everything you own and owe. A glance (one number, its yearly change, a simple trend) that expands into groups — by what it is, or by where it's held — with every account showing where its number comes from and how fresh it is. Money movement lives in the Cash flow tab; this is th</t>
        </is>
      </c>
      <c r="E11" s="4" t="inlineStr">
        <is>
          <t>REUSE-HEAVY: NetWorthScreen.tsx already has the donut/summary, class grouping, institution grouping, identity line, runway card, add/edit sheets and hide-balances. Net-new: summary-that-expands shell, source/last_synced fields + chips, monthly snapshot series for the trend, cash-flow glance tile, three-way add chooser, Account detail route.</t>
        </is>
      </c>
      <c r="F11" s="4" t="n"/>
      <c r="G11" s="4" t="n"/>
      <c r="H11" s="4" t="inlineStr">
        <is>
          <t>🔨 Partial — live under the new tab; rows now open Account detail; FCC glance re-shell pending</t>
        </is>
      </c>
    </row>
    <row r="12" ht="44" customHeight="1">
      <c r="A12" s="2" t="inlineStr">
        <is>
          <t>Net worth</t>
        </is>
      </c>
      <c r="B12" s="2" t="inlineStr">
        <is>
          <t>Connect flow — choose institution + honest consent</t>
        </is>
      </c>
      <c r="C12" s="4" t="inlineStr">
        <is>
          <t>both</t>
        </is>
      </c>
      <c r="D12" s="4" t="inlineStr">
        <is>
          <t>Let a cautious 55–70 user link an account with zero surprises: pick the institution, read exactly what happens to their data (the approved honest wording — data flows through Plaid's servers; we no longer say 'never leaves your device'), then hand off to Plaid's own sign-in. Manual and file import a</t>
        </is>
      </c>
      <c r="E12" s="4" t="inlineStr">
        <is>
          <t>NET-NEW screen (F1). Reuses the existing sheet/navigation patterns and the KeyboardAwareSheet component; the server token exchange follows the existing functions/ proxy pattern. The chooser reuses the two existing paths untouched.</t>
        </is>
      </c>
      <c r="F12" s="4" t="n"/>
      <c r="G12" s="4" t="n"/>
      <c r="H12" s="4" t="inlineStr">
        <is>
          <t>⬜ Not built — bank connection sequenced last (sandbox keys live)</t>
        </is>
      </c>
    </row>
    <row r="13" ht="44" customHeight="1">
      <c r="A13" s="2" t="inlineStr">
        <is>
          <t>Net worth</t>
        </is>
      </c>
      <c r="B13" s="2" t="inlineStr">
        <is>
          <t>Connect flow — accounts found + merge / reconcile</t>
        </is>
      </c>
      <c r="C13" s="4" t="inlineStr">
        <is>
          <t>both</t>
        </is>
      </c>
      <c r="D13" s="4" t="inlineStr">
        <is>
          <t>The anti-duplicate gate. After Plaid returns the institution's accounts, the user picks which to track, and anything that looks like an account they already have becomes a merge question — connect-over-existing updates the existing row (keeping its history and settings) instead of creating a twin. T</t>
        </is>
      </c>
      <c r="E13" s="4" t="inlineStr">
        <is>
          <t>NET-NEW screen (F1), but thin: all writes go through existing store.addAsset/updateAsset; the merge sheet component is built once here and REUSED by Import v2 (screen 4). Matching logic is a small pure helper (unit-testable like holdingsImport).</t>
        </is>
      </c>
      <c r="F13" s="4" t="n"/>
      <c r="G13" s="4" t="n"/>
      <c r="H13" s="4" t="inlineStr">
        <is>
          <t>⬜ Not built — the never-double merge rule IS built and shared with Import v2</t>
        </is>
      </c>
    </row>
    <row r="14" ht="44" customHeight="1">
      <c r="A14" s="2" t="inlineStr">
        <is>
          <t>Net worth</t>
        </is>
      </c>
      <c r="B14" s="2" t="inlineStr">
        <is>
          <t>Import from a file v2 — pick, review, merge</t>
        </is>
      </c>
      <c r="C14" s="4" t="inlineStr">
        <is>
          <t>both</t>
        </is>
      </c>
      <c r="D14" s="4" t="inlineStr">
        <is>
          <t>Import a spreadsheet file downloaded from a brokerage, now with the institution captured, every holding's classification shown AND correctable before saving (crypto, currencies and commodities land in Alternatives, Treasury bills in Cash — not mis-filed as stocks), and a merge step so re-importing t</t>
        </is>
      </c>
      <c r="E14" s="4" t="inlineStr">
        <is>
          <t>MOSTLY REUSE: parser, preview, save path and error handling exist and are tested (src/domain/import/holdingsImport.test.ts). Net-new: institution field, crypto/currency/commodity patterns in classifyHolding (pure-function change, easy unit tests), per-row class picker, merge step (shared component from screen 3), provenance fields on save.</t>
        </is>
      </c>
      <c r="F14" s="4" t="n"/>
      <c r="G14" s="4" t="n"/>
      <c r="H14" s="4" t="inlineStr">
        <is>
          <t>✅ Built — institution required, update-not-twin merge, correctable classes</t>
        </is>
      </c>
    </row>
    <row r="15" ht="44" customHeight="1">
      <c r="A15" s="2" t="inlineStr">
        <is>
          <t>Net worth</t>
        </is>
      </c>
      <c r="B15" s="2" t="inlineStr">
        <is>
          <t>Account detail — any class</t>
        </is>
      </c>
      <c r="C15" s="4" t="inlineStr">
        <is>
          <t>both</t>
        </is>
      </c>
      <c r="D15" s="4" t="inlineStr">
        <is>
          <t>One page per account, whatever it is: the balance, where the number comes from and how fresh it is, what the account holds, its full activity history, and the right record-activity buttons for its class — cash accounts get deposit/withdraw/transfer right here (today those are hidden inside the stock</t>
        </is>
      </c>
      <c r="E15" s="4" t="inlineStr">
        <is>
          <t>NET-NEW screen, OLD parts: the transactions engine, ledger, trade-sheet interaction pattern (PerformanceScreen.tsx) and editors all exist. Work = one detail route, per-class action mapping, value_as_of field + 6-month rule, and rewiring bond/alt sell (and new buy) through recordTransaction instead of silent balance edits.</t>
        </is>
      </c>
      <c r="F15" s="4" t="n"/>
      <c r="G15" s="4" t="n"/>
      <c r="H15" s="4" t="inlineStr">
        <is>
          <t>✅ Built (/account-detail) — per-class activity through the one ledger; freshness nudge</t>
        </is>
      </c>
    </row>
    <row r="16" ht="44" customHeight="1">
      <c r="A16" s="2" t="inlineStr">
        <is>
          <t>Net worth</t>
        </is>
      </c>
      <c r="B16" s="2" t="inlineStr">
        <is>
          <t>Bond editor — add, buy, sell, as-of</t>
        </is>
      </c>
      <c r="C16" s="4" t="inlineStr">
        <is>
          <t>both</t>
        </is>
      </c>
      <c r="D16" s="4" t="inlineStr">
        <is>
          <t>Track an individual bond or Treasury bill honestly: its face value, interest payments, maturity, a current value that carries its date (with a nudge when it goes stale), and — new in v1.1 — both buying more and selling recorded as visible history, not silent edits.</t>
        </is>
      </c>
      <c r="E16" s="4" t="inlineStr">
        <is>
          <t>REUSE: BondEditor form, validity, date picker, double-count guard, proportional-sale math, metrics. Net-new: 'treasury' kind entry, value_as_of + nudge, Buy-more action, and rewiring sale/buy/coupon through recordTransaction (small, well-tested seam — applyTransaction already supports all three types).</t>
        </is>
      </c>
      <c r="F16" s="4" t="n"/>
      <c r="G16" s="4" t="n"/>
      <c r="H16" s="4" t="inlineStr">
        <is>
          <t>✅ Built (pre-existing, kept)</t>
        </is>
      </c>
    </row>
    <row r="17" ht="44" customHeight="1">
      <c r="A17" s="2" t="inlineStr">
        <is>
          <t>Net worth</t>
        </is>
      </c>
      <c r="B17" s="2" t="inlineStr">
        <is>
          <t>Alternative editor — add, buy, sell, as-of</t>
        </is>
      </c>
      <c r="C17" s="4" t="inlineStr">
        <is>
          <t>both</t>
        </is>
      </c>
      <c r="D17" s="4" t="inlineStr">
        <is>
          <t>Track anything that isn't a stock, bond or bank account — crypto, private funds, gold, annuities, option contracts — at a value you set, with that value carrying its date, a nudge when it goes stale, and buying/selling recorded as visible history (today: sale-only, and it leaves no trace).</t>
        </is>
      </c>
      <c r="E17" s="4" t="inlineStr">
        <is>
          <t>REUSE: the whole AltEditor form, hints, benchmarks, sale confirmations and delete flow. Net-new: value_as_of + nudge, Buy-more, and routing buy/sell through recordTransaction — same small seam as the bond editor, shared action-sheet component.</t>
        </is>
      </c>
      <c r="F17" s="4" t="n"/>
      <c r="G17" s="4" t="n"/>
      <c r="H17" s="4" t="inlineStr">
        <is>
          <t>✅ Built (pre-existing, kept)</t>
        </is>
      </c>
    </row>
    <row r="18" ht="44" customHeight="1">
      <c r="A18" s="2" t="inlineStr">
        <is>
          <t>Invest</t>
        </is>
      </c>
      <c r="B18" s="2" t="inlineStr">
        <is>
          <t>Invest — main (glance then drill)</t>
        </is>
      </c>
      <c r="C18" s="4" t="inlineStr">
        <is>
          <t>working</t>
        </is>
      </c>
      <c r="D18" s="4" t="inlineStr">
        <is>
          <t>Grow &amp; Track hero for 55-70: one glance answers 'how am I doing?', everything below is a tap-deeper drill. Covers ALL investment classes — stocks/funds, bonds, alternatives — in one place. — The one screen that tells the truth about how the whole portfolio is doing: total return in dollars and perce</t>
        </is>
      </c>
      <c r="E18" s="4" t="inlineStr">
        <is>
          <t>Mostly EXISTING: this screen is PerformanceScreen.tsx re-shelled to the glance-then-drill order, plus the Bonds and Alternatives groups folded in from BondsScreen.tsx / OtherInvestmentsScreen.tsx (today they are separate screens). NET-NEW: value_as_of field + freshness nudge, holding-level concentration helper, look-back entry. Route: the Invest tab replaces the current Performance entry; keep old routes redirecting.</t>
        </is>
      </c>
      <c r="F18" s="4" t="n"/>
      <c r="G18" s="4" t="n"/>
      <c r="H18" s="4" t="inlineStr">
        <is>
          <t>🔨 Partial — glance header + Home pin done; drill re-shell pending</t>
        </is>
      </c>
    </row>
    <row r="19" ht="44" customHeight="1">
      <c r="A19" s="2" t="inlineStr">
        <is>
          <t>Invest</t>
        </is>
      </c>
      <c r="B19" s="2" t="inlineStr">
        <is>
          <t>Holding detail — stock / fund (equity)</t>
        </is>
      </c>
      <c r="C19" s="4" t="inlineStr">
        <is>
          <t>both</t>
        </is>
      </c>
      <c r="D19" s="4" t="inlineStr">
        <is>
          <t>Drill: one ticker's full story — what you own, what you paid, what it's worth, how it compares, and the tax facts if you sold. — Everything about one stock or fund in plain terms: current worth, gain since purchase, an honest same-period market comparison, the purchase history that explains the cost</t>
        </is>
      </c>
      <c r="E19" s="4" t="inlineStr">
        <is>
          <t>Mostly EXISTING data + components; the page itself is NET-NEW as a routed detail screen (today PerformanceScreen shows expandable rows, not a full-screen drill). Low risk: it is a re-layout of tested helpers.</t>
        </is>
      </c>
      <c r="F19" s="4" t="n"/>
      <c r="G19" s="4" t="n"/>
      <c r="H19" s="4" t="inlineStr">
        <is>
          <t>⬜ Not built — per-holding returns show inline on the Invest table meanwhile</t>
        </is>
      </c>
    </row>
    <row r="20" ht="44" customHeight="1">
      <c r="A20" s="2" t="inlineStr">
        <is>
          <t>Invest</t>
        </is>
      </c>
      <c r="B20" s="2" t="inlineStr">
        <is>
          <t>Holding detail — bond</t>
        </is>
      </c>
      <c r="C20" s="4" t="inlineStr">
        <is>
          <t>both</t>
        </is>
      </c>
      <c r="D20" s="4" t="inlineStr">
        <is>
          <t>Worry-less lens: a bond owner mostly needs to know what it pays, when it matures, what it's worth today, and — new — roughly how its value moves if interest rates move. — One bond, fully explained: what it pays every year, when the face value comes back, what it's worth right now (and how old that n</t>
        </is>
      </c>
      <c r="E20" s="4" t="inlineStr">
        <is>
          <t>Bond math and sale flow EXIST (BondsScreen.tsx + src/domain/bonds). NET-NEW: value_as_of + freshness nudge, bondRateSensitivity helper + card, shared ReportedReturnEditor. This page replaces BondsScreen's expandable row as a routed detail; keep bondSummary for the group header on the main screen.</t>
        </is>
      </c>
      <c r="F20" s="4" t="n"/>
      <c r="G20" s="4" t="n"/>
      <c r="H20" s="4" t="inlineStr">
        <is>
          <t>✅ Built — facts + yields + the rates-move estimate, on Account detail</t>
        </is>
      </c>
    </row>
    <row r="21" ht="44" customHeight="1">
      <c r="A21" s="2" t="inlineStr">
        <is>
          <t>Invest</t>
        </is>
      </c>
      <c r="B21" s="2" t="inlineStr">
        <is>
          <t>Holding detail — alternative (crypto, gold, private stakes, annuities, other)</t>
        </is>
      </c>
      <c r="C21" s="4" t="inlineStr">
        <is>
          <t>both</t>
        </is>
      </c>
      <c r="D21" s="4" t="inlineStr">
        <is>
          <t>These are the forgotten assets — manually valued, rarely updated. The page's job is a current value the user believes, dated, and easy to refresh. — Keep manually-valued investments honest: show the value WITH its date, nudge (not nag) when it's stale, let the user update it in one tap, and let them</t>
        </is>
      </c>
      <c r="E21" s="4" t="inlineStr">
        <is>
          <t>Sale flow and summaries EXIST (OtherInvestmentsScreen.tsx + src/domain/alternatives). NET-NEW: value_as_of + nudge (shared with bonds), reported-return card placement, look-back for manual assets (v2-able: ship the entry hidden for manual assets if dated value pairs are missing). This page replaces OtherInvestmentsScreen's row expansion as a routed detail.</t>
        </is>
      </c>
      <c r="F21" s="4" t="n"/>
      <c r="G21" s="4" t="n"/>
      <c r="H21" s="4" t="inlineStr">
        <is>
          <t>✅ Built — typical return + reported return + look-back door, on Account detail</t>
        </is>
      </c>
    </row>
    <row r="22" ht="44" customHeight="1">
      <c r="A22" s="2" t="inlineStr">
        <is>
          <t>Invest</t>
        </is>
      </c>
      <c r="B22" s="2" t="inlineStr">
        <is>
          <t>Look back — what if I'd moved money?</t>
        </is>
      </c>
      <c r="C22" s="4" t="inlineStr">
        <is>
          <t>both</t>
        </is>
      </c>
      <c r="D22" s="4" t="inlineStr">
        <is>
          <t>The truth-teller answering hindsight questions with real past prices — closure, not regret-bait, and never a recommendation about tomorrow. — Answer the question every investor actually asks — 'what if I'd moved that money?' — with real historical prices and honest wording. It is explicitly backward</t>
        </is>
      </c>
      <c r="E22" s="4" t="inlineStr">
        <is>
          <t>NET-NEW screen + one small pure helper; all price data and pickers exist. Ship behind the Invest main card. Keep the forward what-if (sliders, on the Plan/Invest boundary per high-level design) visually distinct: forward uses sliders + range, backward uses dropdowns + exact past numbers.</t>
        </is>
      </c>
      <c r="F22" s="4" t="n"/>
      <c r="G22" s="4" t="n"/>
      <c r="H22" s="4" t="inlineStr">
        <is>
          <t>✅ Built (/look-back) — real past prices only; design example pinned to the dollar</t>
        </is>
      </c>
    </row>
    <row r="23" ht="44" customHeight="1">
      <c r="A23" s="2" t="inlineStr">
        <is>
          <t>Invest</t>
        </is>
      </c>
      <c r="B23" s="2" t="inlineStr">
        <is>
          <t>What if I add more? (forward what-if)</t>
        </is>
      </c>
      <c r="C23" s="4" t="inlineStr">
        <is>
          <t>both</t>
        </is>
      </c>
      <c r="D23" s="4" t="inlineStr">
        <is>
          <t>The forward companion to Look back, promised in the approved high-level design: slide 'add $X each month', pick a growth rate, and see where the path lands by your retire age — as a range across bad-to-good markets, labeled an estimate, never a promise. Ends in the shared Use-this-plan sheet so adop</t>
        </is>
      </c>
      <c r="E23" s="4" t="inlineStr">
        <is>
          <t>Engines EXIST (projectNestEgg, simulate band); screen is NET-NEW and satisfies the approved high-level design's Invest what-if (verification blocker #2). Distinct-from-Look-back rule per the Look-back build note.</t>
        </is>
      </c>
      <c r="F23" s="4" t="n"/>
      <c r="G23" s="4" t="n"/>
      <c r="H23" s="4" t="inlineStr">
        <is>
          <t>✅ Built (/what-if) — before-chance = hub chance, pinned; prefill wired</t>
        </is>
      </c>
    </row>
    <row r="24" ht="44" customHeight="1">
      <c r="A24" s="2" t="inlineStr">
        <is>
          <t>Invest</t>
        </is>
      </c>
      <c r="B24" s="2" t="inlineStr">
        <is>
          <t>Record a transaction + History</t>
        </is>
      </c>
      <c r="C24" s="4" t="inlineStr">
        <is>
          <t>both</t>
        </is>
      </c>
      <c r="D24" s="4" t="inlineStr">
        <is>
          <t>Chief of staff keeping the books: every buy, sale, dividend, coupon or cash move — for stocks, bonds AND alternatives — lands in one dated, auditable ledger. — One recording flow for every kind of money movement across all three investment classes, with guardrails (can't spend cash you don't have, c</t>
        </is>
      </c>
      <c r="E24" s="4" t="inlineStr">
        <is>
          <t>Fully EXISTING (TransactionSheet + HistorySheet + ledger engine). Work is placement: surface both from the Invest tab and every detail page, and add COUPON/alt-sale rows to the visible history copy (types already exist in the ledger).</t>
        </is>
      </c>
      <c r="F24" s="4" t="n"/>
      <c r="G24" s="4" t="n"/>
      <c r="H24" s="4" t="inlineStr">
        <is>
          <t>✅ Built (pre-existing, kept)</t>
        </is>
      </c>
    </row>
    <row r="25" ht="44" customHeight="1">
      <c r="A25" s="2" t="inlineStr">
        <is>
          <t>Invest</t>
        </is>
      </c>
      <c r="B25" s="2" t="inlineStr">
        <is>
          <t>Empty, stale, hidden &amp; loading states</t>
        </is>
      </c>
      <c r="C25" s="4" t="inlineStr">
        <is>
          <t>both</t>
        </is>
      </c>
      <c r="D25" s="4" t="inlineStr">
        <is>
          <t>The first five seconds and the worst five seconds: brand-new users, dead prices, public places, slow networks. These states carry the trust promise as much as the happy path. — Define exactly how the Invest tab behaves when there is nothing, when data is old or missing, when amounts must be private,</t>
        </is>
      </c>
      <c r="E25" s="4" t="inlineStr">
        <is>
          <t>All mechanisms EXIST; the work is a written state contract per screen + tests: (1) never $0 for a priced holding with no price, (2) never an unlabeled stale number, (3) no raw money() calls on the Invest tab (extend scripts/check-ui-tests.sh style gate), (4) empty-state renders with zero crashes in the 28-screen smoke suite.</t>
        </is>
      </c>
      <c r="F25" s="4" t="n"/>
      <c r="G25" s="4" t="n"/>
      <c r="H25" s="4" t="inlineStr">
        <is>
          <t>🔨 Partial — mask + freshness pinned by tests; the written state contract pending</t>
        </is>
      </c>
    </row>
    <row r="26" ht="44" customHeight="1">
      <c r="A26" s="2" t="inlineStr">
        <is>
          <t>Cash flow</t>
        </is>
      </c>
      <c r="B26" s="2" t="inlineStr">
        <is>
          <t>Cash flow main — retired</t>
        </is>
      </c>
      <c r="C26" s="4" t="inlineStr">
        <is>
          <t>Retired</t>
        </is>
      </c>
      <c r="D26" s="4" t="inlineStr">
        <is>
          <t>The retiree's paycheck, told truthfully month by month. The big number is what is safe to spend THIS month and THIS year, split into its real parts: the guaranteed money that arrives (Social Security, pension, annuity — each named), plus a safe draw from savings, minus the big bills that land in tha</t>
        </is>
      </c>
      <c r="E26" s="4" t="inlineStr">
        <is>
          <t>The hero and decomposition are net-new (F5). The bars are a re-skin of cashflowYear once it is promoted to the F2 canonical grid — the rolling dated window, year-wrap labels, and month+year placement already exist in that helper. Draw-order and will-it-last reuse src/domain/decumulation and src/domain/retirement as-is. Today's CashFlowScreen.tsx is working-lens only and uses calendar January-December grids — it is replaced by this screen with a lens switch.</t>
        </is>
      </c>
      <c r="F26" s="4" t="n"/>
      <c r="G26" s="4" t="n"/>
      <c r="H26" s="4" t="inlineStr">
        <is>
          <t>✅ Built — hero + dated bars + draw-order preview + will-it-last strip</t>
        </is>
      </c>
    </row>
    <row r="27" ht="44" customHeight="1">
      <c r="A27" s="2" t="inlineStr">
        <is>
          <t>Cash flow</t>
        </is>
      </c>
      <c r="B27" s="2" t="inlineStr">
        <is>
          <t>Cash flow main — working</t>
        </is>
      </c>
      <c r="C27" s="4" t="inlineStr">
        <is>
          <t>Working</t>
        </is>
      </c>
      <c r="D27" s="4" t="inlineStr">
        <is>
          <t>For someone still working: today's real cash flow — what comes in, what goes out, what is left — plus the same truthful dated 12-month bars (bonus in its chosen month, stock vesting in its vest months, a one-time payment on its real date). Below it, a clearly labeled PROJECTION of the retirement pay</t>
        </is>
      </c>
      <c r="E27" s="4" t="inlineStr">
        <is>
          <t>Mostly a re-arrangement of what CashFlowScreen.tsx already computes; the two real changes are (1) swapping its calendar January-December grids for the dated F2 grid, and (2) the net-new projection card via F5's projection mode.</t>
        </is>
      </c>
      <c r="F27" s="4" t="n"/>
      <c r="G27" s="4" t="n"/>
      <c r="H27" s="4" t="inlineStr">
        <is>
          <t>✅ Built — in/out/surplus + commitments seam + the projection card</t>
        </is>
      </c>
    </row>
    <row r="28" ht="44" customHeight="1">
      <c r="A28" s="2" t="inlineStr">
        <is>
          <t>Cash flow</t>
        </is>
      </c>
      <c r="B28" s="2" t="inlineStr">
        <is>
          <t>Month detail</t>
        </is>
      </c>
      <c r="C28" s="4" t="inlineStr">
        <is>
          <t>Both (retired example shown)</t>
        </is>
      </c>
      <c r="D28" s="4" t="inlineStr">
        <is>
          <t>Tap any bar and see exactly why that month looks the way it does: each income item on its real date, the big dated bills that land that month, the safe draw, and the resulting safe-to-spend. The month is fully dated (November 2026, not just 'Nov'), and the rows sum — visibly — to the number on the b</t>
        </is>
      </c>
      <c r="E28" s="4" t="inlineStr">
        <is>
          <t>Net-new screen, but it is a pure renderer over one F2/F5 cell — no math of its own. Cheapest correct build: pass the cell object in and forbid any recomputation in the component (mirrors the one-concept-one-helper rule).</t>
        </is>
      </c>
      <c r="F28" s="4" t="n"/>
      <c r="G28" s="4" t="n"/>
      <c r="H28" s="4" t="inlineStr">
        <is>
          <t>✅ Built (/month-detail) — pure cell renderer; rows-sum pin tested</t>
        </is>
      </c>
    </row>
    <row r="29" ht="44" customHeight="1">
      <c r="A29" s="2" t="inlineStr">
        <is>
          <t>Cash flow</t>
        </is>
      </c>
      <c r="B29" s="2" t="inlineStr">
        <is>
          <t>Bill calendar v2</t>
        </is>
      </c>
      <c r="C29" s="4" t="inlineStr">
        <is>
          <t>Both</t>
        </is>
      </c>
      <c r="D29" s="4" t="inlineStr">
        <is>
          <t>The same 12 dated months as everywhere else, viewed as a running-balance table: money in, money out, and what is left at the end of each month, starting from real cash on hand. Big bills get day-level treatment ('will the money be there two days before it is due?'). This is where dated bills are add</t>
        </is>
      </c>
      <c r="E29" s="4" t="inlineStr">
        <is>
          <t>Smallest lift of the tab: BillCalendarScreen.tsx already renders cashflowYear + upcomingBills + cashTotal. Work = point it at F2 (which IS cashflowYear promoted), add the year field on one-off bills, add the deferred-debt field + payoffPlan change, and retire its student-era wording (scholarships/loan-disbursement copy stays in code paths but out of this audience's UI).</t>
        </is>
      </c>
      <c r="F29" s="4" t="n"/>
      <c r="G29" s="4" t="n"/>
      <c r="H29" s="4" t="inlineStr">
        <is>
          <t>🔨 Partial — v1 calendar linked everywhere; running-balance table pending</t>
        </is>
      </c>
    </row>
    <row r="30" ht="44" customHeight="1">
      <c r="A30" s="2" t="inlineStr">
        <is>
          <t>Cash flow</t>
        </is>
      </c>
      <c r="B30" s="2" t="inlineStr">
        <is>
          <t>Draw-order steer sheet</t>
        </is>
      </c>
      <c r="C30" s="4" t="inlineStr">
        <is>
          <t>Retired (working sees it in projection mode)</t>
        </is>
      </c>
      <c r="D30" s="4" t="inlineStr">
        <is>
          <t>The 'steer it' module: shows the order the math would tap the four kinds of accounts (cash, taxable, pre-tax, Roth), each with its live balance; lets the user reorder and re-run to see how the will-it-last answer and the lasts-to age move; explains WHY why the math orders it that way, in plain words</t>
        </is>
      </c>
      <c r="E30" s="4" t="inlineStr">
        <is>
          <t>The order model, the required-withdrawal pin, and every why sentence already exist in src/domain/decumulation/index.ts — this sheet is mostly UI plus two net-new pieces: a stored user draw-order preference and the F5 re-run wrapper that feeds it into the existing simulation and depletion helpers.</t>
        </is>
      </c>
      <c r="F30" s="4" t="n"/>
      <c r="G30" s="4" t="n"/>
      <c r="H30" s="4" t="inlineStr">
        <is>
          <t>🔨 Partial — order preview + the Why sheet live; steering pending</t>
        </is>
      </c>
    </row>
    <row r="31" ht="44" customHeight="1">
      <c r="A31" s="2" t="inlineStr">
        <is>
          <t>Cash flow</t>
        </is>
      </c>
      <c r="B31" s="2" t="inlineStr">
        <is>
          <t>Your monthly income (Social Security · pension · annuity)</t>
        </is>
      </c>
      <c r="C31" s="4" t="inlineStr">
        <is>
          <t>retired</t>
        </is>
      </c>
      <c r="D31" s="4" t="inlineStr">
        <is>
          <t>THE missing front door for the retired lens: where Social Security, pension and annuity amounts are typed in — two numbers a retiree knows by heart, 20 seconds, no bank login. Reached from the Home prompt ('Add your Social Security and pension'), from first-run when the user picks 'a retirement payc</t>
        </is>
      </c>
      <c r="E31" s="4" t="inlineStr">
        <is>
          <t>NET-NEW screen over EXISTING fields — closes the walkthrough's worst finding (guaranteed-income capture was undesigned; both old signposts led to wrong screens). The empty-Home 'Add something by hand … a pension' copy is corrected to route pensions HERE (income), not to the asset form (a pot).</t>
        </is>
      </c>
      <c r="F31" s="4" t="n"/>
      <c r="G31" s="4" t="n"/>
      <c r="H31" s="4" t="inlineStr">
        <is>
          <t>✅ Built — the retired fast-path door</t>
        </is>
      </c>
    </row>
    <row r="32" ht="44" customHeight="1">
      <c r="A32" s="2" t="inlineStr">
        <is>
          <t>Plan</t>
        </is>
      </c>
      <c r="B32" s="2" t="inlineStr">
        <is>
          <t>Plan hub</t>
        </is>
      </c>
      <c r="C32" s="4" t="inlineStr">
        <is>
          <t>both</t>
        </is>
      </c>
      <c r="D32" s="4" t="inlineStr">
        <is>
          <t>The chief-of-staff desk: one calm place for the will-it-last number, the big decisions waiting on you, and your saved what-ifs. — The one true home of the will-it-last number, plus the doorway to every big decision and saved scenario. Nothing here changes your plan by itself -- every path ends at an</t>
        </is>
      </c>
      <c r="E32" s="4" t="inlineStr">
        <is>
          <t>Foundation EXISTS: simulate(), the store fields, the scenarios list, and SharpenPlanScreen. NET-NEW: this hub screen itself, the selectWillItLast selector, claim-window badge, planHistory revert row. CRITICAL: today retirementAssumptions is read ONLY by RetirementCockpit + SharpenPlanScreen -- the hub replaces RetirementCockpit's 'current' screen as the committed-plan home.</t>
        </is>
      </c>
      <c r="F32" s="4" t="n"/>
      <c r="G32" s="4" t="n"/>
      <c r="H32" s="4" t="inlineStr">
        <is>
          <t>✅ Built — band, decisions, scenarios, revert, sharpen meter</t>
        </is>
      </c>
    </row>
    <row r="33" ht="44" customHeight="1">
      <c r="A33" s="2" t="inlineStr">
        <is>
          <t>Plan</t>
        </is>
      </c>
      <c r="B33" s="2" t="inlineStr">
        <is>
          <t>Social Security claim timing</t>
        </is>
      </c>
      <c r="C33" s="4" t="inlineStr">
        <is>
          <t>both</t>
        </is>
      </c>
      <c r="D33" s="4" t="inlineStr">
        <is>
          <t>The flagship decision: 62 vs 67 vs 70 laid out in your own dollars. You set how long you expect to live; we never crown a winner. — Show what claiming at 62, 67, or 70 pays per month, what each adds up to by the age YOU set, and what each does to the same will-it-last number the hub shows. Ends in t</t>
        </is>
      </c>
      <c r="E33" s="4" t="inlineStr">
        <is>
          <t>Engine mostly EXISTS (simulate already accepts the claim-start age -- guaranteed_start_age in RetirementInputs). NET-NEW: this screen, the benefit-by-claim-age factor helper, window nudge, and the adoption patch. The store already has ssClaimAge/ssMonthly/ssEligible fields waiting (useStore.ts:427).</t>
        </is>
      </c>
      <c r="F33" s="4" t="n"/>
      <c r="G33" s="4" t="n"/>
      <c r="H33" s="4" t="inlineStr">
        <is>
          <t>✅ Built (/ss-timing) — SSA table pinned to the design dollars; adoption + revert tested</t>
        </is>
      </c>
    </row>
    <row r="34" ht="44" customHeight="1">
      <c r="A34" s="2" t="inlineStr">
        <is>
          <t>Plan</t>
        </is>
      </c>
      <c r="B34" s="2" t="inlineStr">
        <is>
          <t>Multi-goal trade-off composer</t>
        </is>
      </c>
      <c r="C34" s="4" t="inlineStr">
        <is>
          <t>both</t>
        </is>
      </c>
      <c r="D34" s="4" t="inlineStr">
        <is>
          <t>Can I do it all? Parents, college, the mortgage, debt, and retirement saving -- together on one screen, with the shortfall and the retirement cost in plain sight. — Toggle several goals on together, set each one's monthly amount with a slider, and see two verdicts at once: does this month's money co</t>
        </is>
      </c>
      <c r="E34" s="4" t="inlineStr">
        <is>
          <t>Single-goal math, capacity, debt payoff, and the retirement solver all EXIST -- the NET-NEW work is the F4 weigher that runs them together, the trim-one sweep, and the commitments field on the shared assumptions object. There is NO multi-goal engine in the code today; this is a headline v1 build item.</t>
        </is>
      </c>
      <c r="F34" s="4" t="n"/>
      <c r="G34" s="4" t="n"/>
      <c r="H34" s="4" t="inlineStr">
        <is>
          <t>✅ Built (/multi-goal) — verdict vs canonical capacity; commitments named on Cash flow</t>
        </is>
      </c>
    </row>
    <row r="35" ht="44" customHeight="1">
      <c r="A35" s="2" t="inlineStr">
        <is>
          <t>Plan</t>
        </is>
      </c>
      <c r="B35" s="2" t="inlineStr">
        <is>
          <t>Roth conversion (simple scenario)</t>
        </is>
      </c>
      <c r="C35" s="4" t="inlineStr">
        <is>
          <t>both</t>
        </is>
      </c>
      <c r="D35" s="4" t="inlineStr">
        <is>
          <t>One dial, one honest trade: pay some tax now, in a low-tax year, so more of later life is tax-free. Estimates, clearly labeled. — The simple case only (v1): convert X dollars this year. Show the tax cost now, the two later effects (smaller required withdrawals, bigger tax-free bucket), and the will-</t>
        </is>
      </c>
      <c r="E35" s="4" t="inlineStr">
        <is>
          <t>rothConversion() and rmdAtAge() EXIST; today's RothScreen.tsx is a disconnected calculator (local state, zero store writes) -- v1 rewires it to real balances (taxBucketSplit) and the F11 adoption flow. Keep v1 to the single-year, single-amount case exactly as the requirement says; multi-year ladders are out of scope.</t>
        </is>
      </c>
      <c r="F35" s="4" t="n"/>
      <c r="G35" s="4" t="n"/>
      <c r="H35" s="4" t="inlineStr">
        <is>
          <t>🔨 Partial — existing calculator linked from the hub; scenario adoption pending</t>
        </is>
      </c>
    </row>
    <row r="36" ht="44" customHeight="1">
      <c r="A36" s="2" t="inlineStr">
        <is>
          <t>Plan</t>
        </is>
      </c>
      <c r="B36" s="2" t="inlineStr">
        <is>
          <t>Retirement transition + required withdrawals</t>
        </is>
      </c>
      <c r="C36" s="4" t="inlineStr">
        <is>
          <t>both</t>
        </is>
      </c>
      <c r="D36" s="4" t="inlineStr">
        <is>
          <t>The chief-of-staff view of the government-mandated yearly withdrawal: this year's required amount, how much of it is already taken, the deadline, a year-by-year schedule (clearly labeled estimates — future amounts move with balances), and a getting-ready checklist for the run-up to 73. Logistics and</t>
        </is>
      </c>
      <c r="E36" s="4" t="inlineStr">
        <is>
          <t>Engine EXISTS (rmdAtAge, divisors, ledger, completeness); the screen, taken-so-far tagging, and year projection wiring are NET-NEW. This screen satisfies the Plan hub's 'Retirement transition + required withdrawals' row — previously referenced but undesigned (verification blocker #1).</t>
        </is>
      </c>
      <c r="F36" s="4" t="n"/>
      <c r="G36" s="4" t="n"/>
      <c r="H36" s="4" t="inlineStr">
        <is>
          <t>🔨 Partial — rmd-due insight + hub row land on the cockpit; dedicated screen pending</t>
        </is>
      </c>
    </row>
    <row r="37" ht="44" customHeight="1">
      <c r="A37" s="2" t="inlineStr">
        <is>
          <t>Plan</t>
        </is>
      </c>
      <c r="B37" s="2" t="inlineStr">
        <is>
          <t>Use this plan (adoption sheet -- shared component)</t>
        </is>
      </c>
      <c r="C37" s="4" t="inlineStr">
        <is>
          <t>both</t>
        </is>
      </c>
      <c r="D37" s="4" t="inlineStr">
        <is>
          <t>The founder's non-negotiable: before anything changes, see exactly what changes; after it changes, one tap gets you back. — One shared sheet every scenario ends in. Preview the exact old-to-new list, confirm to write to the ONE shared assumptions source, and promise (then deliver) a one-tap way back</t>
        </is>
      </c>
      <c r="E37" s="4" t="inlineStr">
        <is>
          <t>This sheet is THE v1.1 addition and is one shared component -- Social Security, multi-goal, Roth, and the cockpit's 'Use as my plan' (RetirementCockpit.tsx ~:236, which today writes silently with no preview or undo) all route through it. Retiring the silent write path is part of the definition of done.</t>
        </is>
      </c>
      <c r="F37" s="4" t="n"/>
      <c r="G37" s="4" t="n"/>
      <c r="H37" s="4" t="inlineStr">
        <is>
          <t>✅ Built — the shared adoption sheet; one write path, always revertible</t>
        </is>
      </c>
    </row>
    <row r="38" ht="44" customHeight="1">
      <c r="A38" s="2" t="inlineStr">
        <is>
          <t>Plan</t>
        </is>
      </c>
      <c r="B38" s="2" t="inlineStr">
        <is>
          <t>Will-it-last detail</t>
        </is>
      </c>
      <c r="C38" s="4" t="inlineStr">
        <is>
          <t>both</t>
        </is>
      </c>
      <c r="D38" s="4" t="inlineStr">
        <is>
          <t>Open the hood on the one number: what it means, the honest range, what moves it, and every assumption behind it with an edit link. — The canonical number's one explanation page: plain meaning, the best-to-worst band, ranked drivers (descriptive what-ifs, not advice), and the full assumptions list wi</t>
        </is>
      </c>
      <c r="E38" s="4" t="inlineStr">
        <is>
          <t>Engine fully EXISTS (simulate with band, completeness, fallback derivations). NET-NEW: this screen, the sensitivity sweep, source tagging (null-field check is trivial), and routing edits through the one-row preview instead of the silent write the cockpit does today.</t>
        </is>
      </c>
      <c r="F38" s="4" t="n"/>
      <c r="G38" s="4" t="n"/>
      <c r="H38" s="4" t="inlineStr">
        <is>
          <t>✅ Built (/will-it-last) — sourced drivers, one-selector headline pinned</t>
        </is>
      </c>
    </row>
    <row r="39" ht="32" customHeight="1">
      <c r="A39" s="2" t="inlineStr">
        <is>
          <t>Home</t>
        </is>
      </c>
      <c r="B39" s="2" t="inlineStr">
        <is>
          <t>Onboarding flow map (first run, end to end)</t>
        </is>
      </c>
      <c r="C39" s="4" t="inlineStr">
        <is>
          <t>both</t>
        </is>
      </c>
      <c r="D39" s="4" t="inlineStr">
        <is>
          <t>Five steps from install to a Home with real numbers; every step skippable; no dead ends.</t>
        </is>
      </c>
      <c r="E39" s="4" t="inlineStr">
        <is>
          <t>NET-NEW light flow over existing screens (M1).</t>
        </is>
      </c>
      <c r="F39" s="4" t="n"/>
      <c r="G39" s="4" t="n"/>
      <c r="H39" s="4" t="inlineStr">
        <is>
          <t>⬜ Not built — existing onboarding carries new users meanwhile</t>
        </is>
      </c>
    </row>
    <row r="40" ht="32" customHeight="1">
      <c r="A40" s="2" t="inlineStr">
        <is>
          <t>Net worth</t>
        </is>
      </c>
      <c r="B40" s="2" t="inlineStr">
        <is>
          <t>Add or edit an account by hand (dynamic by class)</t>
        </is>
      </c>
      <c r="C40" s="4" t="inlineStr">
        <is>
          <t>both</t>
        </is>
      </c>
      <c r="D40" s="4" t="inlineStr">
        <is>
          <t>One dynamic manual-add screen; fields adapt per class; edit mode = manual update.</t>
        </is>
      </c>
      <c r="E40" s="4" t="inlineStr">
        <is>
          <t>NET-NEW screen unifying existing editors (M1/c15/c16).</t>
        </is>
      </c>
      <c r="F40" s="4" t="n"/>
      <c r="G40" s="4" t="n"/>
      <c r="H40" s="4" t="inlineStr">
        <is>
          <t>⬜ Not built — the existing AssetSheet editor remains</t>
        </is>
      </c>
    </row>
    <row r="41" ht="32" customHeight="1">
      <c r="A41" s="2" t="inlineStr">
        <is>
          <t>Cash flow</t>
        </is>
      </c>
      <c r="B41" s="2" t="inlineStr">
        <is>
          <t>Quick-add expense (the + sheet)</t>
        </is>
      </c>
      <c r="C41" s="4" t="inlineStr">
        <is>
          <t>both</t>
        </is>
      </c>
      <c r="D41" s="4" t="inlineStr">
        <is>
          <t>Two-tap expense logging from anywhere via the top-bar '+'; also bills/accounts/money-in.</t>
        </is>
      </c>
      <c r="E41" s="4" t="inlineStr">
        <is>
          <t>NET-NEW sheet over existing expenses store (M3/c30).</t>
        </is>
      </c>
      <c r="F41" s="4" t="n"/>
      <c r="G41" s="4" t="n"/>
      <c r="H41" s="4" t="inlineStr">
        <is>
          <t>✅ Built — the '+ Expense' button + shared sheet on Home and Cash flow</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91"/>
  <sheetViews>
    <sheetView zoomScale="119" workbookViewId="0">
      <pane ySplit="1" topLeftCell="A3" activePane="bottomLeft" state="frozen"/>
      <selection pane="bottomLeft" activeCell="G76" sqref="G76"/>
    </sheetView>
  </sheetViews>
  <sheetFormatPr baseColWidth="10" defaultColWidth="8.83203125" defaultRowHeight="15"/>
  <cols>
    <col width="30" customWidth="1" min="1" max="1"/>
    <col width="58" customWidth="1" min="2" max="2"/>
    <col width="42" customWidth="1" min="3" max="3"/>
    <col width="30" customWidth="1" min="4" max="4"/>
    <col width="32" customWidth="1" min="5" max="5"/>
    <col width="11" customWidth="1" min="6" max="6"/>
    <col width="24" customWidth="1" min="7" max="7"/>
  </cols>
  <sheetData>
    <row r="1" ht="26" customHeight="1">
      <c r="A1" s="1" t="inlineStr">
        <is>
          <t>Screen / element</t>
        </is>
      </c>
      <c r="B1" s="1" t="inlineStr">
        <is>
          <t>Wireframe (phone) or what it shows</t>
        </is>
      </c>
      <c r="C1" s="1" t="inlineStr">
        <is>
          <t>Data lineage (engine)</t>
        </is>
      </c>
      <c r="D1" s="1" t="inlineStr">
        <is>
          <t>Fields</t>
        </is>
      </c>
      <c r="E1" s="1" t="inlineStr">
        <is>
          <t>Sameness pin</t>
        </is>
      </c>
      <c r="F1" s="1" t="inlineStr">
        <is>
          <t>✅ Approve?</t>
        </is>
      </c>
      <c r="G1" s="1" t="inlineStr">
        <is>
          <t>💬 Your comments</t>
        </is>
      </c>
    </row>
    <row r="2" ht="46" customHeight="1">
      <c r="A2" s="5" t="inlineStr">
        <is>
          <t>▶ Home — still-working hero (Grow &amp; Track)  ·  lens: working</t>
        </is>
      </c>
      <c r="B2" s="6" t="inlineStr">
        <is>
          <t>The two-second glance for someone still working (55-65): how their investments are actually growing, whether they are ahead of the market, the three things that need their attention (each with a dollar figure), and a calm will-it-last strip that links to its real home in Plan. Home only displays numbers — nothing is captured or edited here.</t>
        </is>
      </c>
      <c r="C2" s="7" t="n"/>
      <c r="D2" s="7" t="n"/>
      <c r="E2" s="7" t="n"/>
      <c r="F2" s="7" t="n"/>
      <c r="G2" s="7" t="n"/>
    </row>
    <row r="3" ht="350" customHeight="1">
      <c r="A3" s="8" t="inlineStr">
        <is>
          <t>WIREFRAME</t>
        </is>
      </c>
      <c r="B3" s="9" t="inlineStr">
        <is>
          <t>+------------------------------+
| Good morning, Pat   (eye)[=] |
|                              |
| YOUR INVESTMENTS             |
|   $843,700                   |
|   up $11,200 this month  ▲up |
|   you +1.4% · market +0.9%   |
|   ahead by 0.5%              |
|   prices as of 4:00pm today  |
| [ See your growth        &gt; ] |
|                              |
| Net worth  $1,204,900   ▲up  |
|                              |
| WHAT NEEDS YOU (3)           |
| 1◆ $18,400 cash earning      |
|    about $0        Invest &gt;  |
| 2· $9,200 of 401(k) room     |
|    left this year    Plan &gt;  |
| 3· $353,800 (42%) sits in    |
|    one account     Invest &gt;  |
|                              |
| WILL MY MONEY LAST? — to 92                |
| Likely — 84% — estimate      |
| See the full picture  Plan &gt; |
+------------------------------+
| [Home] Net worth  Invest     |
|        Cash flow  Plan       |
|               +------------+ |
|               | + Expense  | |
|               +------------+ |
+------------------------------+</t>
        </is>
      </c>
      <c r="C3" s="3" t="inlineStr">
        <is>
          <t>BUILD NOTE:
Mostly REUSE: every number already has a helper (resolveNetWorthRows, investmentsTotal, buildPerformance/portfolioTrend, buildInsights, stored RetirementState, priceFreshness, useMoney). NET-NEW: the lens resolver, two insight rules (required withdrawal due, claim window), F10 card injection, and the new layout replacing src/screens/HomeScreen.tsx. Pin with a cross-screen agreement test extending src/domain/home_integration.test.ts.</t>
        </is>
      </c>
      <c r="D3" s="3" t="inlineStr">
        <is>
          <t>INTERACTIONS:
Tap hero card → Invest tab. Tap net worth line → Net worth tab. Tap an attention item → its DESIGNED detail (idle cash → Idle-cash detail; 401(k) room → 401(k)-room detail; concentration → the named holding on Invest) — a nudge never drops the user on a tab with no matching content. Tap will-it-last strip → Plan tab. Tap eye → mask/unmask everywhere. Tap gear → Settings. Pull down to refresh → re-pull connected balances + prices, then 'Updated just now' stamp. Long-press an attention item → quiet sheet: 'Snooze 30 days / Not useful' (feeds ranking, never deletes the underlying fact). Tapping the hero's month figure pre-selects the 1-month period on Invest so the first number seen matches the one just tapped.</t>
        </is>
      </c>
      <c r="E3" s="3" t="inlineStr">
        <is>
          <t>ACCESSIBILITY:
Screen reader order: greeting → hero as ONE sentence ('Your investments: 843,700 dollars, up 11,200 dollars this month, ahead of the market by half a percent, prices as of 4 pm') → each attention item as one sentence → will-it-last ('Likely, 84 percent, estimate. Opens Plan.'). Eye toggle announces 'Hide balances'/'Show balances' (pattern already in src/components/TopBar.tsx). All rows and buttons at least 44 points tall. Direction always word+arrow, never color alone. Hero number scales down via compact style (e.g. $842.3k) under large-type settings rather than truncating.</t>
        </is>
      </c>
      <c r="G3" s="3" t="n"/>
    </row>
    <row r="4" ht="46" customHeight="1">
      <c r="A4" s="3" t="inlineStr">
        <is>
          <t xml:space="preserve">   Greeting</t>
        </is>
      </c>
      <c r="B4" s="3" t="inlineStr">
        <is>
          <t>Time-of-day greeting plus first name: 'Good morning, Pat'. Warm, no data.</t>
        </is>
      </c>
      <c r="C4" s="3" t="inlineStr">
        <is>
          <t>EXISTING: greeting() + name resolution in src/screens/HomeScreen.tsx (falls back store.user.name → onboarding name → 'there'); first_name lives in src/domain/profile/onboarding.ts</t>
        </is>
      </c>
      <c r="D4" s="3" t="inlineStr">
        <is>
          <t>store.user.name, onboarding profile first_name, device clock hour</t>
        </is>
      </c>
      <c r="E4" s="3" t="inlineStr">
        <is>
          <t>Same name as Settings profile row</t>
        </is>
      </c>
    </row>
    <row r="5" ht="46" customHeight="1">
      <c r="A5" s="3" t="inlineStr">
        <is>
          <t xml:space="preserve">   Hide-balances eye toggle</t>
        </is>
      </c>
      <c r="B5" s="3" t="inlineStr">
        <is>
          <t>An eye icon; tapping it masks every money amount in the whole app as •••• (and back). Percentages and the will-it-last chance stay visible — they are not balances.</t>
        </is>
      </c>
      <c r="C5" s="3" t="inlineStr">
        <is>
          <t>EXISTING: useStore.hideBalances + toggleHideBalances (src/store/useStore.ts); mask rendering via useMoney()/BALANCE_MASK (src/components/useMoney.ts); toggle pattern already in src/components/TopBar.tsx</t>
        </is>
      </c>
      <c r="D5" s="3" t="inlineStr">
        <is>
          <t>hideBalances (boolean, one global flag)</t>
        </is>
      </c>
      <c r="E5" s="3" t="inlineStr">
        <is>
          <t>One global flag — when on, EVERY dollar figure on every tab is masked; no screen may show a raw balance</t>
        </is>
      </c>
    </row>
    <row r="6" ht="46" customHeight="1">
      <c r="A6" s="3" t="inlineStr">
        <is>
          <t xml:space="preserve">   Settings gear [=]</t>
        </is>
      </c>
      <c r="B6" s="3" t="inlineStr">
        <is>
          <t>Opens Settings (profile, connected accounts, hide-balances switch, sign out).</t>
        </is>
      </c>
      <c r="C6" s="3" t="inlineStr">
        <is>
          <t>EXISTING: route to app/(tabs)/settings.tsx</t>
        </is>
      </c>
      <c r="D6" s="3" t="inlineStr">
        <is>
          <t>none</t>
        </is>
      </c>
      <c r="E6" s="3" t="inlineStr">
        <is>
          <t>n/a</t>
        </is>
      </c>
    </row>
    <row r="7" ht="46" customHeight="1">
      <c r="A7" s="3" t="inlineStr">
        <is>
          <t xml:space="preserve">   Hero — total investments</t>
        </is>
      </c>
      <c r="B7" s="3" t="inlineStr">
        <is>
          <t>One big number: the value of everything invested (brokerage + retirement accounts), e.g. $843,700. Glanceable in two seconds.</t>
        </is>
      </c>
      <c r="C7" s="3" t="inlineStr">
        <is>
          <t>EXISTING: investmentsTotal(accounts) in src/domain/assets/index.ts, over rows from resolveNetWorthRows (src/domain/snapshot.ts)</t>
        </is>
      </c>
      <c r="D7" s="3" t="inlineStr">
        <is>
          <t>AssetAccount.balance, positions (shares × latest price), cash_balance sleeve; asset class per assetClassOf</t>
        </is>
      </c>
      <c r="E7" s="3" t="inlineStr">
        <is>
          <t>Must equal the Invest tab header total and the 'Investments' section of the Net worth tab, to the dollar</t>
        </is>
      </c>
      <c r="G7" s="3" t="n"/>
    </row>
    <row r="8" ht="46" customHeight="1">
      <c r="A8" s="3" t="inlineStr">
        <is>
          <t xml:space="preserve">   Hero — change this month</t>
        </is>
      </c>
      <c r="B8" s="3" t="inlineStr">
        <is>
          <t>Dollar and percent change over the current month, always paired with a word and arrow ('up $11,200 this month ▲up'), never color alone. This is a measured number, so it gets a freshness stamp, not an 'estimate' label. v1.1 (c1): shown as icon + color + word TOGETHER — '▲ (green) up $11,200' / '▼ (red) down' — color for sighted users, the WORD carries the meaning.</t>
        </is>
      </c>
      <c r="C8" s="3" t="inlineStr">
        <is>
          <t>EXISTING: portfolioTrend + portfolioPeriodReturn (src/domain/performance/index.ts) over buildPerformance rows</t>
        </is>
      </c>
      <c r="D8" s="3" t="inlineStr">
        <is>
          <t>position shares, cost basis lots, daily price series (services/marketData)</t>
        </is>
      </c>
      <c r="E8" s="3" t="inlineStr">
        <is>
          <t>Must equal the 1-month figure on the Invest tab's performance section</t>
        </is>
      </c>
    </row>
    <row r="9" ht="46" customHeight="1">
      <c r="A9" s="3" t="inlineStr">
        <is>
          <t xml:space="preserve">   Hero — compared to the market</t>
        </is>
      </c>
      <c r="B9" s="3" t="inlineStr">
        <is>
          <t>'you +1.4% · market +0.9% · ahead by 0.5%' — the same period's return for the matching market yardstick, in plain words (never the word 'benchmark' on screen).</t>
        </is>
      </c>
      <c r="C9" s="3" t="inlineStr">
        <is>
          <t>EXISTING: periodReturn(series, period) + BENCHMARK_TICKER mapping (src/domain/performance/index.ts)</t>
        </is>
      </c>
      <c r="D9" s="3" t="inlineStr">
        <is>
          <t>benchmark ticker price series per holding kind; portfolio period return</t>
        </is>
      </c>
      <c r="E9" s="3" t="inlineStr">
        <is>
          <t>Must equal the versus-market line on the Performance screen for the same period</t>
        </is>
      </c>
      <c r="G9" s="3" t="n"/>
    </row>
    <row r="10" ht="46" customHeight="1">
      <c r="A10" s="3" t="inlineStr">
        <is>
          <t xml:space="preserve">   Hero — prices as-of stamp</t>
        </is>
      </c>
      <c r="B10" s="3" t="inlineStr">
        <is>
          <t>'prices as of 4:00pm today' — when the prices behind the number were last fetched. Turns into a plain warning when old (see stale state).</t>
        </is>
      </c>
      <c r="C10" s="3" t="inlineStr">
        <is>
          <t>EXISTING: priceFreshness(fetchedAt, now) in src/services/marketData.ts</t>
        </is>
      </c>
      <c r="D10" s="3" t="inlineStr">
        <is>
          <t>price fetch timestamps per ticker</t>
        </is>
      </c>
      <c r="E10" s="3" t="inlineStr">
        <is>
          <t>Same freshness wording as the Performance screen's freshness line</t>
        </is>
      </c>
    </row>
    <row r="11" ht="46" customHeight="1">
      <c r="A11" s="3" t="inlineStr">
        <is>
          <t xml:space="preserve">   Net worth line</t>
        </is>
      </c>
      <c r="B11" s="3" t="inlineStr">
        <is>
          <t>One quiet line under the hero: total net worth with direction word+arrow. Taps to the Net worth tab.</t>
        </is>
      </c>
      <c r="C11" s="3" t="inlineStr">
        <is>
          <t>EXISTING: resolveNetWorthRows (src/domain/snapshot.ts) → totalAssets minus debts → buildNetWorth (src/domain/networth/index.ts)</t>
        </is>
      </c>
      <c r="D11" s="3" t="inlineStr">
        <is>
          <t>live accounts + liabilities (or onboarding-derived rows for a brand-new user, per resolveNetWorthRows's single rule)</t>
        </is>
      </c>
      <c r="E11" s="3" t="inlineStr">
        <is>
          <t>Must equal the top-bar net-worth chip and the Net worth tab total (this pin already exists — B-49; guarded by src/domain/home_integration.test.ts)</t>
        </is>
      </c>
    </row>
    <row r="12" ht="46" customHeight="1">
      <c r="A12" s="3" t="inlineStr">
        <is>
          <t xml:space="preserve">   What needs you (list)</t>
        </is>
      </c>
      <c r="B12" s="3" t="inlineStr">
        <is>
          <t>At most 3 items, ranked, LED by the single most important (visually heavier row marked ◆). Each states a fact with a dollar figure — never an instruction. Tapping an item opens the tab/screen where you can act on it. HOW INSIGHTS ARE MADE (c12): a deterministic rule engine (buildInsights) — ~10 inputs computed from YOUR data (cash total, concentration %, 401(k) headroom vs the IRS table, plan odds…), fixed thresholds, reviewed template sentences with numbers filled in. No machine learning, no AI-generated text, no external data beyond published constants and prices.</t>
        </is>
      </c>
      <c r="C12" s="3" t="inlineStr">
        <is>
          <t>EXISTING: buildInsights(input, 3) rules engine in src/domain/insights/index.ts (priority-ranked, protect/grow/optimize themes) — EXTENDED with two NET-NEW rules (required-withdrawal due, Social Security claim window) and the NET-NEW F10 'worth a look' card, which when open always takes slot 1 + NET-NEW goal-offtrack rule (monthsToGoal vs the goal's target date → 'College fund is 4 months behind', quantified). FEES / TAX-DRAG nudges (named in the 36-65 strategy): explicitly DEFERRED in v1 — the field dictionary carries no fee/expense-ratio data; recorded deferral, phase-2 with a data source.</t>
        </is>
      </c>
      <c r="D12" s="3" t="inlineStr">
        <is>
          <t>InsightInput: cashMonths, toxicDebt, k401Remaining, hasEarnedIncome, retireChance, cashDragPct, topAccountPct, planPct, beatBy, investRate; plus open F10 flags</t>
        </is>
      </c>
      <c r="E12" s="3" t="inlineStr">
        <is>
          <t>The same 3 items, same order, same dollar figures as the top of the Insights screen (one engine, one input, one ranking)</t>
        </is>
      </c>
    </row>
    <row r="13" ht="46" customHeight="1">
      <c r="A13" s="3" t="inlineStr">
        <is>
          <t xml:space="preserve">   What-needs-you item 1 — idle cash</t>
        </is>
      </c>
      <c r="B13" s="3" t="inlineStr">
        <is>
          <t>'$18,400 cash earning about $0' — how much cash is sitting idle. Fact only; the destination screen holds the options.</t>
        </is>
      </c>
      <c r="C13" s="3" t="inlineStr">
        <is>
          <t>EXISTING: cashTotal(accounts) + cashDragPct input to the 'cash-drag' rule (src/domain/assets/index.ts, src/domain/insights/index.ts)</t>
        </is>
      </c>
      <c r="D13" s="3" t="inlineStr">
        <is>
          <t>cash-class account balances ÷ investableAssets</t>
        </is>
      </c>
      <c r="E13" s="3" t="inlineStr">
        <is>
          <t>Dollar figure must equal the Invest tab's cash total</t>
        </is>
      </c>
    </row>
    <row r="14" ht="46" customHeight="1">
      <c r="A14" s="3" t="inlineStr">
        <is>
          <t xml:space="preserve">   What-needs-you item 2 — 401(k) room</t>
        </is>
      </c>
      <c r="B14" s="3" t="inlineStr">
        <is>
          <t>'$9,200 of 401(k) room left this year' — remaining space in the workplace retirement account. Only shows for someone with wages (already guarded — B-48).</t>
        </is>
      </c>
      <c r="C14" s="3" t="inlineStr">
        <is>
          <t>EXISTING: k401Headroom(age, annual401kContribution) in src/domain/income/limits.ts, surfaced by the 'k401-room' rule</t>
        </is>
      </c>
      <c r="D14" s="3" t="inlineStr">
        <is>
          <t>age, year-to-date 401(k) contributions, IRS_LIMITS table</t>
        </is>
      </c>
      <c r="E14" s="3" t="inlineStr">
        <is>
          <t>Must equal the contribution-room screen's headline number</t>
        </is>
      </c>
    </row>
    <row r="15" ht="46" customHeight="1">
      <c r="A15" s="3" t="inlineStr">
        <is>
          <t xml:space="preserve">   What-needs-you item 3 — one-account concentration</t>
        </is>
      </c>
      <c r="B15" s="3" t="inlineStr">
        <is>
          <t>'$353,800 (42%) sits in one account' — dollars first, honest wording per account not per stock (B-45).</t>
        </is>
      </c>
      <c r="C15" s="3" t="inlineStr">
        <is>
          <t>EXISTING: topAccountPct input to the 'concentration' rule (src/domain/insights/index.ts); dollar figure = largest account value from resolveNetWorthRows rows</t>
        </is>
      </c>
      <c r="D15" s="3" t="inlineStr">
        <is>
          <t>largest single investment account value, investableAssets</t>
        </is>
      </c>
      <c r="E15" s="3" t="inlineStr">
        <is>
          <t>Same account and figure the Performance screen shows when tapped through</t>
        </is>
      </c>
    </row>
    <row r="16" ht="46" customHeight="1">
      <c r="A16" s="3" t="inlineStr">
        <is>
          <t xml:space="preserve">   Will-it-last strip</t>
        </is>
      </c>
      <c r="B16" s="3" t="inlineStr">
        <is>
          <t>'Likely — 84% — estimate': the chance the money lasts, ALWAYS as word + number + the word 'estimate' (word bands: 80+ 'Likely', 60–79 'Uncertain', below 60 'Unlikely' — word pairs the number so color is never the only signal). Links to Plan, its one canonical home. Home READS the stored result; it never recomputes.</t>
        </is>
      </c>
      <c r="C16" s="3" t="inlineStr">
        <is>
          <t>EXISTING: chance_of_success from simulate()/buildRetirementState (src/domain/retirement/index.ts), read from the saved RetirementState</t>
        </is>
      </c>
      <c r="D16" s="3" t="inlineStr">
        <is>
          <t>stored RetirementState.chance_of_success + assumptions</t>
        </is>
      </c>
      <c r="E16" s="3" t="inlineStr">
        <is>
          <t>THE pin of the tab: must be byte-identical to the Plan tab's number and to the retireChance the insights engine sees (Principle 6 — one home, everyone else displays it)</t>
        </is>
      </c>
    </row>
    <row r="17" ht="46" customHeight="1">
      <c r="A17" s="3" t="inlineStr">
        <is>
          <t xml:space="preserve">   Bottom tab bar</t>
        </is>
      </c>
      <c r="B17" s="3" t="inlineStr">
        <is>
          <t>Home · Net worth · Invest · Cash flow · Plan (working order). Fully labeled words, active tab marked by label + underline, never color alone.</t>
        </is>
      </c>
      <c r="C17" s="3" t="inlineStr">
        <is>
          <t>EXISTING: app/(tabs)/_layout.tsx tab structure; NET-NEW: lens resolver picks the default order from the person's stage in the onboarding profile</t>
        </is>
      </c>
      <c r="D17" s="3" t="inlineStr">
        <is>
          <t>onboarding profile stage (working vs retired)</t>
        </is>
      </c>
      <c r="E17" s="3" t="inlineStr">
        <is>
          <t>Tab order is set once from stage; identical across app sessions</t>
        </is>
      </c>
    </row>
    <row r="18" ht="64" customHeight="1">
      <c r="A18" s="3" t="inlineStr">
        <is>
          <t xml:space="preserve">   Info dots — investments · the market · net worth (c1/c2/c3)</t>
        </is>
      </c>
      <c r="B18" s="3" t="inlineStr">
        <is>
          <t>Three (i) dots: Investments = 'stocks &amp; funds + bonds + alternatives — cash is counted separately' (verified: investmentsTotal, src/domain/assets/index.ts:244, excludes cash). The market = 'the S&amp;P 500 — the 500 largest US companies' (default yardstick; closer index per holding type via benchmarkTicker). Net worth = 'everything you own minus everything you owe.'</t>
        </is>
      </c>
      <c r="C18" s="3" t="inlineStr">
        <is>
          <t>Glossary InfoDot (exists in live app); definitions match the canonical helpers.</t>
        </is>
      </c>
      <c r="D18" s="3" t="inlineStr">
        <is>
          <t>none</t>
        </is>
      </c>
      <c r="E18" s="3" t="inlineStr">
        <is>
          <t>One glossary entry per term app-wide.</t>
        </is>
      </c>
    </row>
    <row r="19" ht="64" customHeight="1">
      <c r="A19" s="3" t="inlineStr">
        <is>
          <t xml:space="preserve">   '+ Expense' floating button — DECIDED 2026-07-12 (M4 resolution)</t>
        </is>
      </c>
      <c r="B19" s="3" t="inlineStr">
        <is>
          <t>A labeled '+ Expense' button floating bottom-right — the thumb zone — on HOME and CASH FLOW only (decided with the founder; supersedes the earlier top-bar '+' proposal, which sat in the stretch zone with an unlabeled glyph). One tap opens the expense form DIRECTLY (amount → category → Save) — no chooser menu in between. The top-bar net-worth chip is REMOVED (it duplicated Home and the Net worth tab); the top bar keeps only modes (hide-balances eye, settings). Other screens keep their own add buttons — no second way to add accounts/investments/bills.</t>
        </is>
      </c>
      <c r="C19" s="3" t="inlineStr">
        <is>
          <t>NET-NEW floating button → the Quick-add expense form (Cash flow tab). Chip removal: TopBar.tsx net-worth chip deleted; B-49 pin unaffected (it pins Home = Net worth tab).</t>
        </is>
      </c>
      <c r="D19" s="3" t="inlineStr">
        <is>
          <t>none (navigation)</t>
        </is>
      </c>
      <c r="E19" s="3" t="inlineStr">
        <is>
          <t>Exactly two screens (Home, Cash flow), same corner, same label — one habit, one spot. Lists on those screens get bottom padding so the button never covers the last row.</t>
        </is>
      </c>
    </row>
    <row r="20" ht="46" customHeight="1">
      <c r="A20" s="2" t="inlineStr">
        <is>
          <t xml:space="preserve">   STATES</t>
        </is>
      </c>
      <c r="B20" s="3" t="inlineStr">
        <is>
          <t>• Loading (first paint): Grey placeholder bars where numbers go; hero shows '—'. No spinners over numbers, no zeros ever shown as placeholders (a $0 that isn't true breaks trust).
• Refresh failed / offline: Numbers stay (last saved values) with one calm line: 'We couldn't refresh just now — showing your numbers from Jun 30. [Try again]'. Never a red full-screen error.
• Partial data (accounts connected, plan questions unanswered): Hero and list render from what exists; the will-it-last strip becomes an invitation: 'Answer 3 quick questions in Plan to see your odds &gt; Plan'. Missing pieces are named, never guessed.
• Balances hidden: Every dollar becomes •••• (see the dedicated hidden-balances screen); percents, words, and the 84% chance stay.
• Stale connection: Banner slides in under the header (see the dedicated stale screen); numbers gain 'as of &lt;date&gt;' stamps.
• Fewer than 3 attention items: Show only real items ('What needs you (1)'); if none: 'Nothing needs you today — nice.' Never pad with filler.
• Milestone crossed: One calm line under the hero, once: 'Your net worth just crossed $500k.' Fact-toned celebration (the strategy's stated retention moment), dismissed on tap, never repeated for the same milestone.
• Freshness placement (c11): the stamp always sits directly under the hero number, before the Net worth line — one placement on every variant.</t>
        </is>
      </c>
      <c r="C20" s="4" t="n"/>
      <c r="D20" s="4" t="n"/>
      <c r="E20" s="4" t="n"/>
    </row>
    <row r="21" ht="375" customHeight="1"/>
    <row r="22" ht="46" customHeight="1">
      <c r="A22" s="5" t="inlineStr">
        <is>
          <t>▶ Home — retired hero (Safe to spend)  ·  lens: retired</t>
        </is>
      </c>
      <c r="B22" s="6" t="inlineStr">
        <is>
          <t>The retiree's monthly paycheck at a glance: what's safe to spend THIS month (named month, real timing — never a flat yearly average), split into guaranteed money coming in and a safe draw from savings, plus the year figure. Calm by design: what needs you, and the steady will-it-last read.</t>
        </is>
      </c>
      <c r="C22" s="7" t="n"/>
      <c r="D22" s="7" t="n"/>
      <c r="E22" s="7" t="n"/>
      <c r="F22" s="7" t="n"/>
      <c r="G22" s="7" t="n"/>
    </row>
    <row r="23" ht="46" customHeight="1">
      <c r="A23" s="8" t="inlineStr">
        <is>
          <t>WIREFRAME</t>
        </is>
      </c>
      <c r="B23" s="9" t="inlineStr">
        <is>
          <t>+------------------------------+
| Good morning, June  (eye)[=] |
|                              |
| SAFE TO SPEND — JULY         |
|   $5,840 this month          |
|   estimate                   |
|   Social Security  $2,600    |
|   Pension          $1,600    |
|    = Guaranteed    $4,200    |
|   + Safe draw      $1,640    |
|      from your savings  (i)  |
|   − Big bills this month  $0 |
|      (shows only when due)   |
|   This year     ~$71,600     |
|   varies month to month      |
| [ See July's paycheck    &gt; ] |
|                              |
| WHAT NEEDS YOU (2)           |
| 1◆ Worth a look: $2,400      |
|    went out of checking  See &gt;  |
| 2· Required withdrawal of    |
|    $12,300 due by Dec 31     |
|                      Plan &gt;  |
|                              |
| WILL MY MONEY LAST? — to 92                |
| Likely — 84% — estimate      |
| See the full picture  Plan &gt; |
+------------------------------+
| [Home] Cash flow  Net worth  |
|        Plan  Invest          |
|               +------------+ |
|               | + Expense  | |
|               +------------+ |
+------------------------------+</t>
        </is>
      </c>
      <c r="C23" s="3" t="inlineStr">
        <is>
          <t>BUILD NOTE:
Hero card and its numbers are NET-NEW (F5 engine — the headline build of this release; PRD marks it MISSING). List, strip, header, tab bar REUSE screen 1 components. Do not wire the hero to cashflowYear's flat scalar — that is exactly the fake-average Principle 5 forbids.</t>
        </is>
      </c>
      <c r="D23" s="3" t="inlineStr">
        <is>
          <t>INTERACTIONS:
Tap hero or 'See July's paycheck' → Cash flow paycheck view. Tap Guaranteed or Safe-draw line → same destination, scrolled to the breakdown. Tap worth-a-look card → its detail view (next screen). Tap required-withdrawal item → Plan. Pull-to-refresh, eye, gear, will-it-last: same as working lens. Long-press attention item → snooze sheet (worth-a-look cards cannot be snoozed — they resolve only via the detail view's two buttons).</t>
        </is>
      </c>
      <c r="E23" s="3" t="inlineStr">
        <is>
          <t>ACCESSIBILITY:
Hero reads as one sentence: 'Safe to spend in July: 5,840 dollars, an estimate. 4,200 guaranteed from Social Security and pension, 1,640 safe to draw from savings. About 71,600 dollars this year.' Worth-a-look card announces 'Worth a look' first, then the fact — screen-reader tone matches visual calm. Larger default type for this lens (retiree eyes); all targets ≥44pt; breakdown uses tree lines PLUS the words Guaranteed/Safe draw, never indentation alone.</t>
        </is>
      </c>
      <c r="G23" s="3" t="n"/>
    </row>
    <row r="24" ht="46" customHeight="1">
      <c r="A24" s="3" t="inlineStr">
        <is>
          <t xml:space="preserve">   Hero — Safe to spend, this month (month-named)</t>
        </is>
      </c>
      <c r="B24" s="3" t="inlineStr">
        <is>
          <t>'SAFE TO SPEND — JULY: $5,840 this month' with the word 'estimate' directly under it. July's REAL number: this month's actual guaranteed income timing minus this month's known big bills, plus the safe draw — not one-twelfth of a yearly average (Principle 5).</t>
        </is>
      </c>
      <c r="C24" s="3" t="inlineStr">
        <is>
          <t>NET-NEW: F5 month-by-month retirement-paycheck engine (proposed src/domain/paycheck/index.ts, buildPaycheckYear) — the current cashflowYear (src/domain/cashflow/index.ts) spreads retiree income as a flat scalar and must NOT be used for this</t>
        </is>
      </c>
      <c r="D24" s="3" t="inlineStr">
        <is>
          <t>per-month guaranteed income placements, dated big bills, nest egg (investableAssets, src/domain/assets/index.ts), safe-draw rate, required-withdrawal amount when 73+ (rmdAtAge, src/domain/decumulation/index.ts)</t>
        </is>
      </c>
      <c r="E24" s="3" t="inlineStr">
        <is>
          <t>Must equal the current-month row of the Cash flow tab's paycheck view exactly — one engine, Home displays its output</t>
        </is>
      </c>
    </row>
    <row r="25" ht="46" customHeight="1">
      <c r="A25" s="3" t="inlineStr">
        <is>
          <t xml:space="preserve">   Hero — Guaranteed line</t>
        </is>
      </c>
      <c r="B25" s="3" t="inlineStr">
        <is>
          <t>'Guaranteed $4,200 — Social Security + pension' (always spelled out). Money that arrives no matter what markets do.</t>
        </is>
      </c>
      <c r="C25" s="3" t="inlineStr">
        <is>
          <t>EXISTING inputs: retirementIncomeMonthly(op) in src/domain/income/onboarding.ts (Social Security + pension monthly), placed into real months by the NET-NEW F5 engine</t>
        </is>
      </c>
      <c r="D25" s="3" t="inlineStr">
        <is>
          <t>onboarding profile Social Security monthly, pension monthly, any annuity; month each lands</t>
        </is>
      </c>
      <c r="E25" s="3" t="inlineStr">
        <is>
          <t>Must equal Plan's guaranteed-income figure and snapshot.guaranteed_monthly_income (src/domain/snapshot.ts line ~79) — the B-31 pin</t>
        </is>
      </c>
    </row>
    <row r="26" ht="46" customHeight="1">
      <c r="A26" s="3" t="inlineStr">
        <is>
          <t xml:space="preserve">   Hero — Safe draw line</t>
        </is>
      </c>
      <c r="B26" s="3" t="inlineStr">
        <is>
          <t>'Safe draw $1,640 — from your savings': the amount the plan says can come out of savings this month without putting the long run at risk.</t>
        </is>
      </c>
      <c r="C26" s="3" t="inlineStr">
        <is>
          <t>NET-NEW: F5 engine, reusing the withdrawalPlan(spendMonthly, guaranteedMonthly, nestEgg) shape from src/domain/decumulation/index.ts as its starting logic</t>
        </is>
      </c>
      <c r="D26" s="3" t="inlineStr">
        <is>
          <t>nest egg (investableAssets), guaranteed monthly, safe-draw rate assumption (shown in Plan)</t>
        </is>
      </c>
      <c r="E26" s="3" t="inlineStr">
        <is>
          <t>PIN: guaranteed + safe draw − big bills landing this month = the this-month figure to the dollar, on Home AND Cash flow (agreement test). The bills line appears on Home whenever it is non-zero — the card must visibly sum in every month.</t>
        </is>
      </c>
      <c r="G26" s="3" t="n"/>
    </row>
    <row r="27" ht="46" customHeight="1">
      <c r="A27" s="3" t="inlineStr">
        <is>
          <t xml:space="preserve">   Hero — This year figure</t>
        </is>
      </c>
      <c r="B27" s="3" t="inlineStr">
        <is>
          <t>'This year ~$71,600 — varies month to month': the 12 real months added up, with the tilde and caption making clear months differ (a big pension payment in March, property tax in November).</t>
        </is>
      </c>
      <c r="C27" s="3" t="inlineStr">
        <is>
          <t>NET-NEW: F5 engine year roll-up (sum of the 12 per-month rows)</t>
        </is>
      </c>
      <c r="D27" s="3" t="inlineStr">
        <is>
          <t>the 12 monthly safe-to-spend rows</t>
        </is>
      </c>
      <c r="E27" s="3" t="inlineStr">
        <is>
          <t>Must equal the Cash flow paycheck year view total</t>
        </is>
      </c>
    </row>
    <row r="28" ht="46" customHeight="1">
      <c r="A28" s="3" t="inlineStr">
        <is>
          <t xml:space="preserve">   Button — See July's paycheck</t>
        </is>
      </c>
      <c r="B28" s="3" t="inlineStr">
        <is>
          <t>One button, named with the real month, opening the Cash flow tab's paycheck view (month rows, bill timing, the why).</t>
        </is>
      </c>
      <c r="C28" s="3" t="inlineStr">
        <is>
          <t>route to Cash flow tab (F5's canonical home)</t>
        </is>
      </c>
      <c r="D28" s="3" t="inlineStr">
        <is>
          <t>current month</t>
        </is>
      </c>
      <c r="E28" s="3" t="inlineStr">
        <is>
          <t>n/a</t>
        </is>
      </c>
    </row>
    <row r="29" ht="46" customHeight="1">
      <c r="A29" s="3" t="inlineStr">
        <is>
          <t xml:space="preserve">   What needs you (retired mix)</t>
        </is>
      </c>
      <c r="B29" s="3" t="inlineStr">
        <is>
          <t>Same 3-max ranked list as the working lens, but retiree-relevant rules lead: the 'worth a look' card (F10) always takes slot 1 when open; required withdrawal ('$12,300 due by Dec 31' — the amount the government requires out of pre-tax retirement accounts each year from age 73) is a NET-NEW rule.</t>
        </is>
      </c>
      <c r="C29" s="3" t="inlineStr">
        <is>
          <t>EXISTING buildInsights (src/domain/insights/index.ts) + NET-NEW rule using rmdAtAge/RMD_START_AGE (src/domain/decumulation/index.ts) + NET-NEW F10 flags</t>
        </is>
      </c>
      <c r="D29" s="3" t="inlineStr">
        <is>
          <t>pre-tax balance (taxBucketSplit), age, open flags, InsightInput</t>
        </is>
      </c>
      <c r="E29" s="3" t="inlineStr">
        <is>
          <t>Identical items/order/dollars as Insights screen top 3; withdrawal figure must equal Plan's required-withdrawal note</t>
        </is>
      </c>
    </row>
    <row r="30" ht="46" customHeight="1">
      <c r="A30" s="3" t="inlineStr">
        <is>
          <t xml:space="preserve">   Worth-a-look card (F10, in-list)</t>
        </is>
      </c>
      <c r="B30" s="3" t="inlineStr">
        <is>
          <t>Calm single line: '◆ Worth a look: $2,400 went out of checking, Tue — See &gt;'. Magnifying-glass icon + the words 'Worth a look' (never a red badge, never the words fraud/alert). States the fact; the person decides.</t>
        </is>
      </c>
      <c r="C30" s="3" t="inlineStr">
        <is>
          <t>NET-NEW: F10 single-transaction flag engine (proposed src/domain/transactions/flags.ts) over the existing Transaction record (src/domain/transactions/index.ts)</t>
        </is>
      </c>
      <c r="D30" s="3" t="inlineStr">
        <is>
          <t>Transaction.date, type, account_id, amount, note; flag reason + status</t>
        </is>
      </c>
      <c r="E30" s="3" t="inlineStr">
        <is>
          <t>Amount, account and date must match the detail view and the transaction row in Cash flow exactly</t>
        </is>
      </c>
    </row>
    <row r="31" ht="46" customHeight="1">
      <c r="A31" s="3" t="inlineStr">
        <is>
          <t xml:space="preserve">   Will-it-last strip</t>
        </is>
      </c>
      <c r="B31" s="3" t="inlineStr">
        <is>
          <t>Same strip as the working lens — same stored number, same wording, same 'estimate' label.</t>
        </is>
      </c>
      <c r="C31" s="3" t="inlineStr">
        <is>
          <t>EXISTING: stored RetirementState.chance_of_success (src/domain/retirement/index.ts)</t>
        </is>
      </c>
      <c r="D31" s="3" t="inlineStr">
        <is>
          <t>chance_of_success</t>
        </is>
      </c>
      <c r="E31" s="3" t="inlineStr">
        <is>
          <t>Byte-identical to Plan tab and working-lens Home</t>
        </is>
      </c>
    </row>
    <row r="32" ht="98" customHeight="1">
      <c r="A32" s="3" t="inlineStr">
        <is>
          <t xml:space="preserve">   Bottom tab bar (retired order)</t>
        </is>
      </c>
      <c r="B32" s="3" t="inlineStr">
        <is>
          <t>Home · Cash flow · Net worth · Plan · Invest — the retiree's default order (paycheck next to Home), set automatically from stage; editing order is a later phase.</t>
        </is>
      </c>
      <c r="C32" s="3" t="inlineStr">
        <is>
          <t>NET-NEW: lens resolver from onboarding profile stage</t>
        </is>
      </c>
      <c r="D32" s="3" t="inlineStr">
        <is>
          <t>profile stage</t>
        </is>
      </c>
      <c r="E32" s="3" t="inlineStr">
        <is>
          <t>Order fixed per lens</t>
        </is>
      </c>
    </row>
    <row r="33" ht="80" customHeight="1">
      <c r="A33" s="3" t="inlineStr">
        <is>
          <t xml:space="preserve">   Safe-draw explainer (the 'says who?' dot)</t>
        </is>
      </c>
      <c r="B33" s="3" t="inlineStr">
        <is>
          <t>A small (i) beside 'Safe draw' on Home and Cash flow opens the same plain sheet: 'What makes $1,640 safe? It is the largest steady monthly draw that keeps your will-it-last odds at Likely (80 or better), re-checked whenever your balances move. Spend more each month and the odds fall — try it in Plan.'</t>
        </is>
      </c>
      <c r="C33" s="3" t="inlineStr">
        <is>
          <t>NET-NEW shared explainer sheet; content = the F5 derivation (engine spec) said once, plainly; the try-it link opens the Plan scenario with spending pre-nudged.</t>
        </is>
      </c>
      <c r="D33" s="3" t="inlineStr">
        <is>
          <t>none (explainer)</t>
        </is>
      </c>
      <c r="E33" s="3" t="inlineStr">
        <is>
          <t>One sheet, identical wording on Home and Cash flow — the single biggest number in the retired lens is never un-sourced.</t>
        </is>
      </c>
    </row>
    <row r="34" ht="46" customHeight="1">
      <c r="A34" s="2" t="inlineStr">
        <is>
          <t xml:space="preserve">   STATES</t>
        </is>
      </c>
      <c r="B34" s="3" t="inlineStr">
        <is>
          <t>• Loading: Placeholder bars; the month name still renders immediately ('SAFE TO SPEND — JULY') so the frame feels steady.
• Guaranteed income not yet captured: Hero shows only what it can stand behind: 'Safe draw $1,640' plus a quiet line 'Add your Social Security and pension in Plan to see your full paycheck &gt; Plan'. Never assumes $0 guaranteed silently (the B-31 lesson).
• A big bill lands this month: This-month figure is honestly lower; a caption explains in one line: 'Lower this month: property tax $1,900 due Nov 15'. Never smoothed away.
• Refresh failed: Same as working lens: keep last numbers, calm 'showing your numbers from Jun 30' line, Try again.
• Balances hidden: $5,840 / $4,200 / $1,640 / ~$71,600 all become ••••; the month name, words, and 84% stay.
• Age 73+ with withdrawal not yet taken: Required-withdrawal item stays pinned in What-needs-you until marked done in Plan; wording stays factual ('$12,300 due by Dec 31'), never urgent-red.
• Plan questions not yet answered: The hero shows ONLY the guaranteed income actually captured plus 'Answer 3 quick questions in Plan to see your safe draw' — the safe draw is NEVER computed from defaults the user didn't give. No un-sourced number, ever (June's first morning is designed, not accidental).
• Big-bill month exceeds income (c5): the hero shows the real minus with the word 'short' + one caption sentence naming the bill and what covers it; Month detail shows the full arithmetic. Never smoothed, never clipped to zero.</t>
        </is>
      </c>
      <c r="C34" s="4" t="n"/>
      <c r="D34" s="4" t="n"/>
      <c r="E34" s="4" t="n"/>
    </row>
    <row r="35" ht="362.5" customHeight="1"/>
    <row r="36" ht="46" customHeight="1">
      <c r="A36" s="5" t="inlineStr">
        <is>
          <t>▶ Worth a look — transaction detail (F10)  ·  lens: both</t>
        </is>
      </c>
      <c r="B36" s="6" t="inlineStr">
        <is>
          <t>The calm close-up of a flagged transaction: the plain facts, why it stood out (in one honest comparison), and a two-button resolution. Reassures more than it warns — most flags are the person's own spending. Never alarmist, never the words fraud or alert in v1 copy.</t>
        </is>
      </c>
      <c r="C36" s="7" t="n"/>
      <c r="D36" s="7" t="n"/>
      <c r="E36" s="7" t="n"/>
      <c r="F36" s="7" t="n"/>
      <c r="G36" s="7" t="n"/>
    </row>
    <row r="37" ht="46" customHeight="1">
      <c r="A37" s="8" t="inlineStr">
        <is>
          <t>WIREFRAME</t>
        </is>
      </c>
      <c r="B37" s="9" t="inlineStr">
        <is>
          <t>+------------------------------+
| &lt; Back        Worth a look   |
|                              |
|      (magnifier icon)        |
|   $2,400 left your Chase     |
|   checking on Tue, Jun 30    |
|                              |
|   Paid to: APEX SOLUTIONS    |
|   First time we've seen      |
|   this payee on this account |
|                              |
|   WHY WE'RE SHOWING THIS     |
|   Your usual withdrawal from |
|   this account is about      |
|   $310. This one is 8 times  |
|   that. Most large first-    |
|   time payments are fine —   |
|   you know best.             |
|                              |
| [ Yes, this was me         ] |
|                              |
| [ Something's off — show me  |
|   what to do               ] |
|                              |
|   We can only look at your   |
|   accounts — we can never    |
|   move or block money.       |
|   Your bank can.             |
+------------------------------+</t>
        </is>
      </c>
      <c r="C37" s="3" t="inlineStr">
        <is>
          <t>BUILD NOTE:
Entire screen NET-NEW, plus the F10 engine and two new persisted fields (flag record, known-payee list). Reuses Transaction data as-is — no schema change to existing fields. This is the thin v1: one rule set, one card, one detail view; no machine learning, no merchant databases.</t>
        </is>
      </c>
      <c r="D37" s="3" t="inlineStr">
        <is>
          <t>INTERACTIONS:
Back → Home, card still present if unresolved. Tap 'Yes, this was me' → single confirmation haptic, return to Home, quiet 'Noted.' toast. Tap 'Something's off' → checklist expands in place (no new screen jump for a worried user). Tap the account line → that account in Net worth. No swipe-to-dismiss — resolution is always an explicit choice.</t>
        </is>
      </c>
      <c r="E37" s="3" t="inlineStr">
        <is>
          <t>ACCESSIBILITY:
Title announces 'Worth a look' (calm phrasing is itself the accessibility choice). Fact block is one sentence for screen readers. Both buttons ≥48pt tall, full width, labeled exactly as their visible text. The comparison never relies on color; the magnifier icon always carries the text label. Checklist items are numbered words, not icons.</t>
        </is>
      </c>
    </row>
    <row r="38" ht="46" customHeight="1">
      <c r="A38" s="3" t="inlineStr">
        <is>
          <t xml:space="preserve">   Fact block (amount, account, date, payee)</t>
        </is>
      </c>
      <c r="B38" s="3" t="inlineStr">
        <is>
          <t>'$2,400 left your Chase checking on Tue, Jun 30. Paid to: APEX SOLUTIONS.' Pure facts from the transaction record — nothing inferred.</t>
        </is>
      </c>
      <c r="C38" s="3" t="inlineStr">
        <is>
          <t>EXISTING record: Transaction (src/domain/transactions/index.ts) fields; account name via resolveNetWorthRows rows</t>
        </is>
      </c>
      <c r="D38" s="3" t="inlineStr">
        <is>
          <t>Transaction.amount, date, account_id, note (payee text), type</t>
        </is>
      </c>
      <c r="E38" s="3" t="inlineStr">
        <is>
          <t>Must match the Home card and the same row in the Cash flow activity list to the penny and the day</t>
        </is>
      </c>
    </row>
    <row r="39" ht="46" customHeight="1">
      <c r="A39" s="3" t="inlineStr">
        <is>
          <t xml:space="preserve">   Why we're showing this</t>
        </is>
      </c>
      <c r="B39" s="3" t="inlineStr">
        <is>
          <t>One plain-English comparison per reason: unusually large → 'Your usual withdrawal from this account is about $310. This one is 8 times that.' First-time payee → 'First time we've seen this payee on this account.' Odd pattern → 'Three withdrawals from this account today, $3,100 together.' Always followed by the softener: 'Most large first-time payments are fine — you know best.' COPY PROVENANCE (c6): every sentence app-wide is a fixed, human-reviewed template with computed numbers filled in — no AI-generated text in v1 (auditable against the never-advise rule; never invents facts).</t>
        </is>
      </c>
      <c r="C39" s="3" t="inlineStr">
        <is>
          <t>NET-NEW: F10 flag engine output {reason, comparison} (proposed src/domain/transactions/flags.ts)</t>
        </is>
      </c>
      <c r="D39" s="3" t="inlineStr">
        <is>
          <t>flag.reason, flag.comparison (the typical-amount figure used), the 90-day history it was computed from</t>
        </is>
      </c>
      <c r="E39" s="3" t="inlineStr">
        <is>
          <t>The 'usual amount' shown here is the exact figure the rule used — stored on the flag at flag time, so the explanation never drifts from the decision</t>
        </is>
      </c>
      <c r="G39" s="3" t="n"/>
    </row>
    <row r="40" ht="46" customHeight="1">
      <c r="A40" s="3" t="inlineStr">
        <is>
          <t xml:space="preserve">   Button — Yes, this was me</t>
        </is>
      </c>
      <c r="B40" s="3" t="inlineStr">
        <is>
          <t>Primary, friendly. One tap: card leaves Home, flag saved as resolved-by-me, and for a first-time-payee flag the payee is remembered as known (so it never asks about them again).</t>
        </is>
      </c>
      <c r="C40" s="3" t="inlineStr">
        <is>
          <t>NET-NEW: F10 resolve action (flag.status → 'was_me', known-payee list append)</t>
        </is>
      </c>
      <c r="D40" s="3" t="inlineStr">
        <is>
          <t>flag.status, resolved_at, known_payees per account</t>
        </is>
      </c>
      <c r="E40" s="3" t="inlineStr">
        <is>
          <t>Resolved flags never reappear on Home; they remain visible in the transaction's row detail</t>
        </is>
      </c>
    </row>
    <row r="41" ht="70" customHeight="1">
      <c r="A41" s="3" t="inlineStr">
        <is>
          <t xml:space="preserve">   Button — Something's off, show me what to do</t>
        </is>
      </c>
      <c r="B41" s="3" t="inlineStr">
        <is>
          <t>Second button. Opens a short factual checklist (no commands, just the map): 1) Call the number on the back of your bank card — they can freeze the card and reverse charges; 2) If you shared a code or password recently, change it; 3) You can note what happened here for your records. Card moves to a quiet 'Flagged by you' section until you mark it settled.</t>
        </is>
      </c>
      <c r="C41" s="3" t="inlineStr">
        <is>
          <t>NET-NEW: F10 resolve action (flag.status → 'flagged') + static checklist view</t>
        </is>
      </c>
      <c r="D41" s="3" t="inlineStr">
        <is>
          <t>flag.status, user note</t>
        </is>
      </c>
      <c r="E41" s="3" t="inlineStr">
        <is>
          <t>A flagged item stays counted in What-needs-you (as 'You flagged $2,400 — settled?') until closed, on both lenses</t>
        </is>
      </c>
    </row>
    <row r="42" ht="48" customHeight="1">
      <c r="A42" s="3" t="inlineStr">
        <is>
          <t xml:space="preserve">   Reassurance footer</t>
        </is>
      </c>
      <c r="B42" s="3" t="inlineStr">
        <is>
          <t>'We can only look at your accounts — we can never move or block money. Your bank can.' Anchors the read-only promise at the exact moment of worry.</t>
        </is>
      </c>
      <c r="C42" s="3" t="inlineStr">
        <is>
          <t>static copy (mirrors the F1 read-only connection promise)</t>
        </is>
      </c>
      <c r="D42" s="3" t="inlineStr">
        <is>
          <t>none</t>
        </is>
      </c>
      <c r="E42" s="3" t="inlineStr">
        <is>
          <t>Same read-only wording as the connect-account screen</t>
        </is>
      </c>
    </row>
    <row r="43" ht="46" customHeight="1">
      <c r="A43" s="2" t="inlineStr">
        <is>
          <t xml:space="preserve">   STATES</t>
        </is>
      </c>
      <c r="B43" s="3" t="inlineStr">
        <is>
          <t>• Open (unresolved): As drawn. Card also visible on Home slot 1 until resolved.
• Resolved — was me: Buttons replaced by 'You confirmed this on Jul 1 ✓ confirmed' (word + check). Reachable from the transaction row forever; gone from Home.
• Resolved — flagged by you: Checklist shown inline with a 'Mark settled' button; Home shows the follow-up line until settled.
• Balances hidden: $2,400 and $310 become ••••; the story ('8 times your usual') stays readable because the ratio is words, not a balance.
• Multiple open flags: Home shows only the most recent card with 'and 1 more'; detail view gets previous/next arrows. More than 2 open flags in 30 days automatically loosens nothing — thresholds never auto-tighten in v1.</t>
        </is>
      </c>
      <c r="C43" s="4" t="n"/>
      <c r="D43" s="4" t="n"/>
      <c r="E43" s="4" t="n"/>
    </row>
    <row r="44" ht="323" customHeight="1"/>
    <row r="45" ht="46" customHeight="1">
      <c r="A45" s="5" t="inlineStr">
        <is>
          <t>▶ First run — what did you come for? (sets the lens)  ·  lens: both</t>
        </is>
      </c>
      <c r="B45" s="6" t="inlineStr">
        <is>
          <t>The progressive first-run from the approved high-level design: two friendly questions — what you came for, and whether you're still working — set the lens (which hero leads Home) and the tab order. Skippable with no dead end; everything is changeable later.</t>
        </is>
      </c>
      <c r="C45" s="7" t="n"/>
      <c r="D45" s="7" t="n"/>
      <c r="E45" s="7" t="n"/>
      <c r="F45" s="7" t="n"/>
      <c r="G45" s="7" t="n"/>
    </row>
    <row r="46" ht="267" customHeight="1">
      <c r="A46" s="8" t="inlineStr">
        <is>
          <t>WIREFRAME</t>
        </is>
      </c>
      <c r="B46" s="9" t="inlineStr">
        <is>
          <t>+------------------------------+
| Welcome to FinWise           |
|                              |
| What did you come for?       |
|  (pick all that apply)       |
|  [ ] Grow my investments     |
|  [ ] A retirement paycheck   |
|      I can trust             |
|  [ ] See everything in       |
|      one place               |
|                              |
| Where are you these days?    |
|  ( ) Still working           |
|  ( ) Retired, or nearly      |
|                              |
| This sets up your Home and   |
| your tab order. Change it    |
| anytime in Settings.         |
|                              |
| [ Continue ]                 |
| [ Skip — just explore ]      |
+------------------------------+</t>
        </is>
      </c>
      <c r="C46" s="3" t="inlineStr">
        <is>
          <t>BUILD NOTE:
NET-NEW light screen; closes the gap that the lens resolver read a stage no designed screen captured (verification finding #10). The connect flow itself is on the Net worth tab (already designed).</t>
        </is>
      </c>
      <c r="D46" s="3" t="inlineStr">
        <is>
          <t>INTERACTIONS:
Pick + Continue -&gt; first-run Home; 'retirement paycheck' + retired leads with the Monthly-income fast-path door (enter Social Security + pension first, connect later or never). Skip -&gt; first-run Home with defaults. Settings -&gt; reopen anytime.</t>
        </is>
      </c>
      <c r="E46" s="3" t="inlineStr">
        <is>
          <t>ACCESSIBILITY:
Radio groups with full labels; the consequence sentence ('this sets up your Home and tab order') is read before the choices. Large targets; no time pressure.</t>
        </is>
      </c>
      <c r="G46" s="3" t="n"/>
    </row>
    <row r="47" ht="46" customHeight="1">
      <c r="A47" s="3" t="inlineStr">
        <is>
          <t xml:space="preserve">   What-did-you-come-for pick</t>
        </is>
      </c>
      <c r="B47" s="3" t="inlineStr">
        <is>
          <t>Three plain intents. It orders the first suggestions (which account to connect first, which tab to tour) — it never locks anything. v1.1 (c7): PICK ALL THAT APPLY — a retired person can also want growth; intents order suggestions, the stage question still picks the lens. Preceded by the one-screen 'what FinWise can do' intro.</t>
        </is>
      </c>
      <c r="C47" s="3" t="inlineStr">
        <is>
          <t>NET-NEW: intent field on the onboarding profile (src/domain/profile/onboarding.ts); consumed by the first-run Home's suggestion order.</t>
        </is>
      </c>
      <c r="D47" s="3" t="inlineStr">
        <is>
          <t>intent ('grow' | 'paycheck' | 'whole_picture')</t>
        </is>
      </c>
      <c r="E47" s="3" t="inlineStr">
        <is>
          <t>Intent only orders suggestions; it never changes any number anywhere.</t>
        </is>
      </c>
    </row>
    <row r="48" ht="40" customHeight="1">
      <c r="A48" s="3" t="inlineStr">
        <is>
          <t xml:space="preserve">   Stage question (still working / retired)</t>
        </is>
      </c>
      <c r="B48" s="3" t="inlineStr">
        <is>
          <t>The one answer that flexes the whole app: working -&gt; Grow &amp; Track hero + working tab order; retired -&gt; Safe-to-spend hero + retired tab order.</t>
        </is>
      </c>
      <c r="C48" s="3" t="inlineStr">
        <is>
          <t>EXISTING profile: stage derived from onboarding (src/domain/profile/onboarding.ts) — this screen is the designed capture point the lens resolver reads (Home lens resolver element).</t>
        </is>
      </c>
      <c r="D48" s="3" t="inlineStr">
        <is>
          <t>stage ('working' | 'retired')</t>
        </is>
      </c>
      <c r="E48" s="3" t="inlineStr">
        <is>
          <t>PIN: the lens set here = the tab order and hero on every later screen — one stage field, read by the one lens resolver.</t>
        </is>
      </c>
    </row>
    <row r="49" ht="48" customHeight="1">
      <c r="A49" s="3" t="inlineStr">
        <is>
          <t xml:space="preserve">   Skip — just explore</t>
        </is>
      </c>
      <c r="B49" s="3" t="inlineStr">
        <is>
          <t>Skips both questions: defaults to the whole-picture intent + working lens, Home opens in its honest empty state. No dead end, no nagging.</t>
        </is>
      </c>
      <c r="C49" s="3" t="inlineStr">
        <is>
          <t>Defaults in the lens resolver; first-run Home (already designed) handles the empty state.</t>
        </is>
      </c>
      <c r="D49" s="3" t="inlineStr">
        <is>
          <t>defaults</t>
        </is>
      </c>
      <c r="E49" s="3" t="inlineStr">
        <is>
          <t>Skipping never produces different numbers — only default ordering.</t>
        </is>
      </c>
      <c r="G49" s="3" t="n"/>
    </row>
    <row r="50" ht="46" customHeight="1">
      <c r="A50" s="2" t="inlineStr">
        <is>
          <t xml:space="preserve">   STATES</t>
        </is>
      </c>
      <c r="B50" s="3" t="inlineStr">
        <is>
          <t>• First launch: Shown once before the first-run Home; both questions optional.
• Revisited from Settings: Same screen, titled 'Your setup'; changing the stage re-orders tabs immediately with a one-line confirmation.
• Just explore — the exact next screens (c8): Skip → Home empty state (two doors + the what-you'll-see list) → every tab live with its own honest empty state and ONE action (Net worth: add/connect · Invest: add/import · Cash flow: income setup or retired fast-path · Plan: three questions). No demo data, no dead ends.</t>
        </is>
      </c>
      <c r="C50" s="4" t="n"/>
      <c r="D50" s="4" t="n"/>
      <c r="E50" s="4" t="n"/>
    </row>
    <row r="51" ht="409" customHeight="1"/>
    <row r="52" ht="46" customHeight="1">
      <c r="A52" s="5" t="inlineStr">
        <is>
          <t>▶ Home — first run (nothing connected yet)  ·  lens: both</t>
        </is>
      </c>
      <c r="B52" s="6" t="inlineStr">
        <is>
          <t>The empty Home never shows fake zeros or demo charts — it makes one promise (your real numbers, read-only) and offers exactly two doors in: connect an institution, or add something by hand. Shows what Home will become so the effort has a visible payoff.</t>
        </is>
      </c>
      <c r="C52" s="7" t="n"/>
      <c r="D52" s="7" t="n"/>
      <c r="E52" s="7" t="n"/>
      <c r="F52" s="7" t="n"/>
      <c r="G52" s="7" t="n"/>
    </row>
    <row r="53" ht="46" customHeight="1">
      <c r="A53" s="8" t="inlineStr">
        <is>
          <t>WIREFRAME</t>
        </is>
      </c>
      <c r="B53" s="9" t="inlineStr">
        <is>
          <t>+------------------------------+
| Welcome, Pat        (eye)[=] |
|                              |
|  Let's get your real         |
|  numbers in.                 |
|                              |
|     ( link illustration )    |
|                              |
| [ Connect your first         |
|   account               &gt;  ] |
|   Takes about 2 minutes.     |
|   Read-only: we can look,    |
|   never touch your money.    |
|                              |
| [ Add something by hand  &gt; ] |
|   Your home, or an account   |
|   with no login              |
|                              |
|  WHAT YOU'LL SEE HERE        |
|  · Your whole money picture  |
|    in one place                 |
|  · What needs your attention |
|    — with dollar amounts      |
|  · Whether your money will   |
|    last — as honest odds     |
+------------------------------+
| [Home] Net worth  Invest     |
|        Cash flow  Plan       |
+------------------------------+</t>
        </is>
      </c>
      <c r="C53" s="3" t="inlineStr">
        <is>
          <t>BUILD NOTE:
Layout NET-NEW (simple). Connect button blocks on the F1 seam +C52(net-new, the PRD's top build item); add-by-hand REUSES the existing manual flow, so this screen can ship with by-hand only if F1 lands later — the connect button then reads 'Coming soon' honestly rather than hiding.</t>
        </is>
      </c>
      <c r="D53" s="3" t="inlineStr">
        <is>
          <t>INTERACTIONS:
Tap connect → institution picker (F1 flow). Tap add-by-hand → existing manual add. Tabs remain tappable — each shows its own empty state rather than trapping the user on Home. Pull-to-refresh disabled (nothing to refresh).</t>
        </is>
      </c>
      <c r="E53" s="3" t="inlineStr">
        <is>
          <t>ACCESSIBILITY:
Both doors are full-width ≥48pt buttons announced with their sub-lines ('Connect your first account, takes about 2 minutes, read-only'). Illustration marked decorative (skipped by screen readers). Preview list is a proper list for rotor navigation.</t>
        </is>
      </c>
      <c r="G53" s="3" t="n"/>
    </row>
    <row r="54" ht="46" customHeight="1">
      <c r="A54" s="3" t="inlineStr">
        <is>
          <t xml:space="preserve">   Connect your first account (button)</t>
        </is>
      </c>
      <c r="B54" s="3" t="inlineStr">
        <is>
          <t>Primary button into the account-linking flow (banks, brokerages, retirement accounts, credit cards, loans). Sub-line carries the two trust facts: about 2 minutes, and read-only.</t>
        </is>
      </c>
      <c r="C54" s="3" t="inlineStr">
        <is>
          <t>NET-NEW: F1 secure read-only account-sync seam (provider module + Connection record — PRD gap: no aggregator module exists in the repo today)</t>
        </is>
      </c>
      <c r="D54" s="3" t="inlineStr">
        <is>
          <t>creates Connection {institution, status, last_successful_update} + AssetAccount rows on success</t>
        </is>
      </c>
      <c r="E54" s="3" t="inlineStr">
        <is>
          <t>The read-only promise wording here = the worth-a-look footer = Settings connections screen</t>
        </is>
      </c>
    </row>
    <row r="55" ht="46" customHeight="1">
      <c r="A55" s="3" t="inlineStr">
        <is>
          <t xml:space="preserve">   Add something by hand (button)</t>
        </is>
      </c>
      <c r="B55" s="3" t="inlineStr">
        <is>
          <t>For things with no login: home value, a private holding, a certificate of deposit. Opens the existing add flow. A PENSION is income, not a pot — the word is deliberately NOT offered here; pensions and Social Security are entered on the Monthly-income screen (the retired fast-path door leads there), so nobody is asked what their pension is 'worth'.</t>
        </is>
      </c>
      <c r="C55" s="3" t="inlineStr">
        <is>
          <t>EXISTING: manual add-account flow (Net worth tab; account kinds from ASSET_KINDS in src/domain/assets/index.ts)</t>
        </is>
      </c>
      <c r="D55" s="3" t="inlineStr">
        <is>
          <t>AssetAccount kind, balance, label</t>
        </is>
      </c>
      <c r="E55" s="3" t="inlineStr">
        <is>
          <t>Manually added rows appear identically on Net worth and inside totals everywhere</t>
        </is>
      </c>
    </row>
    <row r="56" ht="46" customHeight="1">
      <c r="A56" s="3" t="inlineStr">
        <is>
          <t xml:space="preserve">   What you'll see here (preview list)</t>
        </is>
      </c>
      <c r="B56" s="3" t="inlineStr">
        <is>
          <t>Three plain lines previewing the real Home: whole picture, what needs you in dollars, honest odds. Words only — no fake example numbers that could be mistaken for data.</t>
        </is>
      </c>
      <c r="C56" s="3" t="inlineStr">
        <is>
          <t>static copy</t>
        </is>
      </c>
      <c r="D56" s="3" t="inlineStr">
        <is>
          <t>none</t>
        </is>
      </c>
      <c r="E56" s="3" t="inlineStr">
        <is>
          <t>The three promises correspond one-to-one to the three real Home blocks (hero, What-needs-you, will-it-last)</t>
        </is>
      </c>
    </row>
    <row r="57" ht="56" customHeight="1">
      <c r="A57" s="3" t="inlineStr">
        <is>
          <t xml:space="preserve">   Greeting / header</t>
        </is>
      </c>
      <c r="B57" s="3" t="inlineStr">
        <is>
          <t>'Welcome, Pat' if a name exists from sign-up, else 'Welcome'. Eye and gear present but eye is inert (nothing to hide) — kept so the header never rearranges later.</t>
        </is>
      </c>
      <c r="C57" s="3" t="inlineStr">
        <is>
          <t>EXISTING: name resolution in src/screens/HomeScreen.tsx</t>
        </is>
      </c>
      <c r="D57" s="3" t="inlineStr">
        <is>
          <t>store.user.name</t>
        </is>
      </c>
      <c r="E57" s="3" t="inlineStr">
        <is>
          <t>Header layout identical to populated Home</t>
        </is>
      </c>
    </row>
    <row r="58" ht="80" customHeight="1">
      <c r="A58" s="3" t="inlineStr">
        <is>
          <t xml:space="preserve">   Retired-intent income fast-path</t>
        </is>
      </c>
      <c r="B58" s="3" t="inlineStr">
        <is>
          <t>If first-run answers were 'a retirement paycheck I can trust' + retired, the empty Home leads with a THIRD door above the other two: 'Get your paycheck — enter your Social Security and pension (2 minutes, no bank login)' → the Monthly-income screen. Two typed numbers give her a real hero before any connect decision.</t>
        </is>
      </c>
      <c r="C58" s="3" t="inlineStr">
        <is>
          <t>intent + stage from the first-run screen; navigation to the Monthly-income screen (Cash flow tab).</t>
        </is>
      </c>
      <c r="D58" s="3" t="inlineStr">
        <is>
          <t>intent, stage</t>
        </is>
      </c>
      <c r="E58" s="3" t="inlineStr">
        <is>
          <t>The amounts land in the same ri_* fields the hero reads — instant, honest payoff.</t>
        </is>
      </c>
    </row>
    <row r="59" ht="46" customHeight="1">
      <c r="A59" s="2" t="inlineStr">
        <is>
          <t xml:space="preserve">   STATES</t>
        </is>
      </c>
      <c r="B59" s="3" t="inlineStr">
        <is>
          <t>• Zero data (as drawn): No hero, no zeros, no placeholder charts. Tabs other than Home show their own honest empty states.
• Connecting (in progress): Button becomes 'Connecting to Chase…' with progress words ('Fetching your accounts — usually under a minute'). Cancel available. On success, Home rebuilds live with a one-time 'Here's your picture ✓' moment.
• Connection failed: Plain retry line: 'Chase didn't complete — nothing was saved. [Try again] [Add by hand instead]'. Never blames the user.
• First data arrived (1 account): Switches to the partial-data Home: real hero from what exists + a single quiet card 'Add the rest for your full picture' listing what's missing by name (e.g. 'no retirement account yet').</t>
        </is>
      </c>
      <c r="C59" s="4" t="n"/>
      <c r="D59" s="4" t="n"/>
      <c r="E59" s="4" t="n"/>
    </row>
    <row r="60" ht="362.5" customHeight="1"/>
    <row r="61" ht="46" customHeight="1">
      <c r="A61" s="5" t="inlineStr">
        <is>
          <t>▶ Home — balances hidden (mask everything)  ·  lens: both</t>
        </is>
      </c>
      <c r="B61" s="6" t="inlineStr">
        <is>
          <t>Coffee-shop mode: one tap makes every money amount unreadable over a shoulder while the page stays fully useful — direction words, percentages, and the will-it-last chance remain. Same rule on the retired lens: all four paycheck dollars mask, month name and words stay.</t>
        </is>
      </c>
      <c r="C61" s="7" t="n"/>
      <c r="D61" s="7" t="n"/>
      <c r="E61" s="7" t="n"/>
      <c r="F61" s="7" t="n"/>
      <c r="G61" s="7" t="n"/>
    </row>
    <row r="62" ht="46" customHeight="1">
      <c r="A62" s="8" t="inlineStr">
        <is>
          <t>WIREFRAME</t>
        </is>
      </c>
      <c r="B62" s="9" t="inlineStr">
        <is>
          <t>+------------------------------+
| Good morning, Pat (eye-off)  |
|                          [=] |
| Balances hidden — tap the    |
| eye to show                  |
|                              |
| YOUR INVESTMENTS             |
|   ••••                       |
|   up •••• this month  ▲up    |
|   you +1.4% · market +0.9%   |
| prices as of 4:00pm today    |
| [ See your growth        &gt; ] |
|                              |
| Net worth  ••••   ▲up        |
|                              |
| WHAT NEEDS YOU (3)           |
| 1◆ •••• cash earning         |
|    about $0        Invest &gt;  |
| 2· •••• of 401(k) room       |
|    left this year    Plan &gt;  |
| 3· •••• (42%) sits in one    |
|    account         Invest &gt;  |
|                              |
| WILL MY MONEY LAST? — to 92                |
| Likely — 84% — estimate      |
| See the full picture  Plan &gt; |
+------------------------------+
| [Home] Net worth  Invest     |
|        Cash flow  Plan       |
+------------------------------+</t>
        </is>
      </c>
      <c r="C62" s="3" t="inlineStr">
        <is>
          <t>BUILD NOTE:
Pure REUSE: mechanism shipped (mask-ALL fixed in the build-33 round). Home rebuild work = discipline + a test: every new Home component must format money through useMoney(); add a UI test that walks Home with hideBalances on and asserts zero '$' characters render.</t>
        </is>
      </c>
      <c r="D62" s="3" t="inlineStr">
        <is>
          <t>INTERACTIONS:
Tap eye anywhere → toggle globally. Everything else behaves exactly as the unmasked screen — navigation is never disabled by hiding.</t>
        </is>
      </c>
      <c r="E62" s="3" t="inlineStr">
        <is>
          <t>ACCESSIBILITY:
Masked values announce as 'hidden' (not 'bullet bullet bullet'). Eye announces 'Show balances' when hidden — labels already exist in src/components/TopBar.tsx. The banner is polite-priority for screen readers (announced once, not repeated per element).</t>
        </is>
      </c>
      <c r="G62" s="3" t="n"/>
    </row>
    <row r="63" ht="46" customHeight="1">
      <c r="A63" s="3" t="inlineStr">
        <is>
          <t xml:space="preserve">   Mask rule</t>
        </is>
      </c>
      <c r="B63" s="3" t="inlineStr">
        <is>
          <t>EVERY dollar figure app-wide renders as •••• (hero, breakdowns, attention items, net worth, detail views — including the worth-a-look amounts). Percentages, ratios in words ('8 times your usual'), dates, and the will-it-last chance stay: they are readings, not balances.</t>
        </is>
      </c>
      <c r="C63" s="3" t="inlineStr">
        <is>
          <t>EXISTING: useMoney().m / .compact returning BALANCE_MASK when hideBalances is on (src/components/useMoney.ts); flag in src/store/useStore.ts</t>
        </is>
      </c>
      <c r="D63" s="3" t="inlineStr">
        <is>
          <t>hideBalances</t>
        </is>
      </c>
      <c r="E63" s="3" t="inlineStr">
        <is>
          <t>One flag, no exceptions — a build gate audits that no Home component calls the raw money() formatter for a balance (this was the mask-ALL fix from the build-33 device test)</t>
        </is>
      </c>
    </row>
    <row r="64" ht="42" customHeight="1">
      <c r="A64" s="3" t="inlineStr">
        <is>
          <t xml:space="preserve">   Hidden banner</t>
        </is>
      </c>
      <c r="B64" s="3" t="inlineStr">
        <is>
          <t>One-line reminder under the header: 'Balances hidden — tap the eye to show'. Present on every tab while hidden.</t>
        </is>
      </c>
      <c r="C64" s="3" t="inlineStr">
        <is>
          <t>EXISTING pattern: TopBar eye + accessibility labels (src/components/TopBar.tsx)</t>
        </is>
      </c>
      <c r="D64" s="3" t="inlineStr">
        <is>
          <t>hideBalances</t>
        </is>
      </c>
      <c r="E64" s="3" t="inlineStr">
        <is>
          <t>Same line, same position on all five tabs</t>
        </is>
      </c>
    </row>
    <row r="65" ht="32" customHeight="1">
      <c r="A65" s="3" t="inlineStr">
        <is>
          <t xml:space="preserve">   Eye (off) toggle</t>
        </is>
      </c>
      <c r="B65" s="3" t="inlineStr">
        <is>
          <t>Eye-with-slash icon; tapping restores instantly. No confirmation, no animation delay.</t>
        </is>
      </c>
      <c r="C65" s="3" t="inlineStr">
        <is>
          <t>EXISTING: toggleHideBalances (src/store/useStore.ts)</t>
        </is>
      </c>
      <c r="D65" s="3" t="inlineStr">
        <is>
          <t>hideBalances</t>
        </is>
      </c>
      <c r="E65" s="3" t="inlineStr">
        <is>
          <t>State persists across app restarts and both lenses</t>
        </is>
      </c>
    </row>
    <row r="66" ht="46" customHeight="1">
      <c r="A66" s="2" t="inlineStr">
        <is>
          <t xml:space="preserve">   STATES</t>
        </is>
      </c>
      <c r="B66" s="3" t="inlineStr">
        <is>
          <t>• Hidden + pull-to-refresh: Refresh works normally; new numbers arrive already masked — no flash of real figures.
• Hidden + worth-a-look card: Card shows '•••• went out of checking, Tue'; detail view masks both dollars but keeps the words-based comparison, so a flag can still be triaged privately.
• Reveal: Instant, all screens at once. No per-figure peek in v1 (one rule is easier to trust).
• Freshness under masking (c10): the as-of stamp stays visible when balances are hidden — masking hides amounts, never honesty about freshness.</t>
        </is>
      </c>
      <c r="C66" s="4" t="n"/>
      <c r="D66" s="4" t="n"/>
      <c r="E66" s="4" t="n"/>
    </row>
    <row r="67" ht="362.5" customHeight="1"/>
    <row r="68" ht="46" customHeight="1">
      <c r="A68" s="5" t="inlineStr">
        <is>
          <t>▶ Home — stale connection + partial data  ·  lens: both</t>
        </is>
      </c>
      <c r="B68" s="6" t="inlineStr">
        <is>
          <t>Honesty when the pipes are imperfect: an old connection gets a calm, specific banner (which institution, since when, one fix button); every number touched by old data carries an 'as of' stamp; and anything we can't stand behind becomes an invitation, never a guess. Show what's true first.</t>
        </is>
      </c>
      <c r="C68" s="7" t="n"/>
      <c r="D68" s="7" t="n"/>
      <c r="E68" s="7" t="n"/>
      <c r="F68" s="7" t="n"/>
      <c r="G68" s="7" t="n"/>
    </row>
    <row r="69" ht="46" customHeight="1">
      <c r="A69" s="8" t="inlineStr">
        <is>
          <t>WIREFRAME</t>
        </is>
      </c>
      <c r="B69" s="9" t="inlineStr">
        <is>
          <t>+------------------------------+
| Good morning, Pat   (eye)[=] |
| ⓘ Chase hasn't updated       |
|   since Jun 27. Numbers      |
|   may be behind.             |
|   [ Fix connection       &gt; ] |
|                              |
| YOUR INVESTMENTS             |
|   $843,700                   |
|   as of Jun 27 (Chase part)  |
|   up $11,200 this month ▲up  |
| [ See your growth        &gt; ] |
|                              |
| Net worth $1,204,900  ▲up    |
|   includes 1 account as of   |
|   Jun 27                     |
|                              |
| WHAT NEEDS YOU (1)           |
| 1◆ $18,400 cash earning      |
|    about $0        Invest &gt;  |
|                              |
| WILL MY MONEY LAST? — to 92                |
| Answer 3 quick questions in  |
| Plan to see your odds        |
|                      Plan &gt;  |
+------------------------------+
| [Home] Net worth  Invest     |
|        Cash flow  Plan       |
+------------------------------+</t>
        </is>
      </c>
      <c r="C69" s="3" t="inlineStr">
        <is>
          <t>BUILD NOTE:
Banner + balance staleness are NET-NEW and blocked on the F1 Connection entity; price stamps REUSE priceFreshness today (can ship first). The partial-data behaviors are mostly free — the insights engine already skips null inputs; the work is the will-it-last invitation state and the stamp explainer sheet.</t>
        </is>
      </c>
      <c r="D69" s="3" t="inlineStr">
        <is>
          <t>INTERACTIONS:
Tap Fix connection → institution re-link (F1). Tap an as-of stamp → one-sentence explainer sheet: 'This includes your Chase accounts, last updated Jun 27. Everything else is current.' Tap the invitation strip → Plan's 3 questions. Pull-to-refresh retries the stale connection first.</t>
        </is>
      </c>
      <c r="E69" s="3" t="inlineStr">
        <is>
          <t>ACCESSIBILITY:
Banner is announced once on arrival ('Information: Chase hasn't updated since June 27'), not on every scroll. Stamps are part of each number's spoken sentence ('…as of June 27'). Info icon always paired with words. Fix button ≥44pt.</t>
        </is>
      </c>
      <c r="G69" s="3" t="n"/>
    </row>
    <row r="70" ht="46" customHeight="1">
      <c r="A70" s="3" t="inlineStr">
        <is>
          <t xml:space="preserve">   Stale-connection banner</t>
        </is>
      </c>
      <c r="B70" s="3" t="inlineStr">
        <is>
          <t>'ⓘ Chase hasn't updated since Jun 27. Numbers may be behind. [Fix connection &gt;]'. Info icon + words (never a yellow bar alone). Names the institution and date; appears when a connection is more than 48 hours old or needs a fresh login. Manual-only users never see it.</t>
        </is>
      </c>
      <c r="C70" s="3" t="inlineStr">
        <is>
          <t>NET-NEW: F1 Connection record's last_successful_update + status (no sync module exists yet — PRD gap)</t>
        </is>
      </c>
      <c r="D70" s="3" t="inlineStr">
        <is>
          <t>Connection.institution, last_successful_update, status</t>
        </is>
      </c>
      <c r="E70" s="3" t="inlineStr">
        <is>
          <t>Same connection status and date as the Settings connections list; one source</t>
        </is>
      </c>
    </row>
    <row r="71" ht="46" customHeight="1">
      <c r="A71" s="3" t="inlineStr">
        <is>
          <t xml:space="preserve">   As-of stamps on affected numbers</t>
        </is>
      </c>
      <c r="B71" s="3" t="inlineStr">
        <is>
          <t>Any figure that includes stale data gets 'as of Jun 27' next to it; hero also says which part ('Chase part'). Price-driven staleness uses the existing freshness read.</t>
        </is>
      </c>
      <c r="C71" s="3" t="inlineStr">
        <is>
          <t>EXISTING for prices: priceFreshness (src/services/marketData.ts); NET-NEW for account balances: oldest last_successful_update among included connections</t>
        </is>
      </c>
      <c r="D71" s="3" t="inlineStr">
        <is>
          <t>price fetch timestamps; Connection.last_successful_update per included account</t>
        </is>
      </c>
      <c r="E71" s="3" t="inlineStr">
        <is>
          <t>Same stamp logic and wording as the Performance screen's freshness line — one helper, both places</t>
        </is>
      </c>
    </row>
    <row r="72" ht="56" customHeight="1">
      <c r="A72" s="3" t="inlineStr">
        <is>
          <t xml:space="preserve">   Partial will-it-last invitation</t>
        </is>
      </c>
      <c r="B72" s="3" t="inlineStr">
        <is>
          <t>When the plan inputs aren't answered yet, the strip becomes: 'Answer 3 quick questions in Plan to see your odds &gt; Plan'. Never shows a chance computed from guessed inputs.</t>
        </is>
      </c>
      <c r="C72" s="3" t="inlineStr">
        <is>
          <t>EXISTING gate: absence of a stored RetirementState (buildRetirementState output, src/domain/retirement/index.ts)</t>
        </is>
      </c>
      <c r="D72" s="3" t="inlineStr">
        <is>
          <t>presence/absence of RetirementState; plan completeness (planPct input in src/domain/insights/index.ts)</t>
        </is>
      </c>
      <c r="E72" s="3" t="inlineStr">
        <is>
          <t>Plan tab shows the same 3 questions; completing them lights up Home and the insights retireChance simultaneously</t>
        </is>
      </c>
    </row>
    <row r="73" ht="64" customHeight="1">
      <c r="A73" s="3" t="inlineStr">
        <is>
          <t xml:space="preserve">   Shorter What-needs-you</t>
        </is>
      </c>
      <c r="B73" s="3" t="inlineStr">
        <is>
          <t>Only rules whose inputs are trustworthy fire; a list of 1 is shown as 1. A missing-data nudge may appear as a normal ranked item ('Add your retirement account — your picture is missing it') but is never dressed as urgent.</t>
        </is>
      </c>
      <c r="C73" s="3" t="inlineStr">
        <is>
          <t>EXISTING: buildInsights simply receives null/absent inputs and its rules skip (nullable InsightInput fields, src/domain/insights/index.ts)</t>
        </is>
      </c>
      <c r="D73" s="3" t="inlineStr">
        <is>
          <t>InsightInput with nulls for unknowns</t>
        </is>
      </c>
      <c r="E73" s="3" t="inlineStr">
        <is>
          <t>Insights screen shows the same reduced set</t>
        </is>
      </c>
    </row>
    <row r="74" ht="46" customHeight="1">
      <c r="A74" s="2" t="inlineStr">
        <is>
          <t xml:space="preserve">   STATES</t>
        </is>
      </c>
      <c r="B74" s="3" t="inlineStr">
        <is>
          <t>• One stale connection (as drawn): Banner + stamps; everything else live. Fix button opens the re-link flow for that institution only.
• All connections stale / offline: Banner generalizes: 'We couldn't reach your banks — showing everything as of Jun 27.' Single date, single stamp at top instead of per-number clutter.
• Re-link succeeded: Banner slides away, stamps drop, one quiet 'Chase updated ✓' confirmation. Numbers may visibly change — that is correct and never smoothed.
• Stale + hidden balances: Both rules stack: •••• with 'as of Jun 27' stamps; the banner still names the institution.</t>
        </is>
      </c>
      <c r="C74" s="4" t="n"/>
      <c r="D74" s="4" t="n"/>
      <c r="E74" s="4" t="n"/>
    </row>
    <row r="75" ht="287.5" customHeight="1"/>
    <row r="76" ht="46" customHeight="1">
      <c r="A76" s="5" t="inlineStr">
        <is>
          <t>▶ Idle cash — nudge detail  ·  lens: both</t>
        </is>
      </c>
      <c r="B76" s="6" t="inlineStr">
        <is>
          <t>The designed landing for Home's idle-cash nudge (previously a dead-end): the fact, which accounts it sits in, and the plain comparison math of what that cash could earn — estimates, named rates, no instruction to act.</t>
        </is>
      </c>
      <c r="C76" s="7" t="n"/>
      <c r="D76" s="7" t="n"/>
      <c r="E76" s="7" t="n"/>
      <c r="F76" s="7" t="n"/>
      <c r="G76" s="7" t="n"/>
    </row>
    <row r="77" ht="46" customHeight="1">
      <c r="A77" s="8" t="inlineStr">
        <is>
          <t>WIREFRAME</t>
        </is>
      </c>
      <c r="B77" s="9" t="inlineStr">
        <is>
          <t>+------------------------------+
| &lt; Back    Your idle cash     |
|                              |
| $18,400 of your cash is      |
| earning about $0.            |
|                              |
| Where it sits                |
|  Chase checking   $12,400    |
|   earning ~0.0%              |
|  Chase savings     $6,000    |
|   earning ~0.1%              |
|                              |
| For comparison (estimates)   |
|  In high-yield savings       |
|   (~4.1%): ~$750/yr          |
|  In a money-market fund      |
|   (~4.4%): ~$810/yr          |
|  Rates are examples — banks  |
|  differ. We never move your  |
|  money; you decide.          |
|                              |
| [ See my cash accounts &gt; ]   |
+------------------------------+</t>
        </is>
      </c>
      <c r="C77" s="3" t="inlineStr">
        <is>
          <t>BUILD NOTE:
NET-NEW light screen; closes walkthrough dead-end #1 (Home's marquee nudge led to an Invest tab with no cash section).</t>
        </is>
      </c>
      <c r="D77" s="3" t="inlineStr">
        <is>
          <t>INTERACTIONS:
Home idle-cash card -&gt; HERE (was a drop onto the Invest tab). 'See my cash accounts' -&gt; Net worth filtered to cash.</t>
        </is>
      </c>
      <c r="E77" s="3" t="inlineStr">
        <is>
          <t>ACCESSIBILITY:
Read as one story: fact, where, comparison. Rates always paired with the word estimate.</t>
        </is>
      </c>
      <c r="G77" s="3" t="n"/>
    </row>
    <row r="78" ht="40" customHeight="1">
      <c r="A78" s="3" t="inlineStr">
        <is>
          <t xml:space="preserve">   Idle-cash fact + by-account list</t>
        </is>
      </c>
      <c r="B78" s="3" t="inlineStr">
        <is>
          <t>The same $18,400 as the Home card, broken into the accounts it sits in with their (user-entered or known) rates.</t>
        </is>
      </c>
      <c r="C78" s="3" t="inlineStr">
        <is>
          <t>EXISTING: cashTotal + cash-class accounts (src/domain/assets/index.ts); per-account rate = user-entered or kind default.</t>
        </is>
      </c>
      <c r="D78" s="3" t="inlineStr">
        <is>
          <t>cash-class balances, rates</t>
        </is>
      </c>
      <c r="E78" s="3" t="inlineStr">
        <is>
          <t>PIN: total = the Home card figure = the Net worth Cash row — one cashTotal.</t>
        </is>
      </c>
    </row>
    <row r="79" ht="48" customHeight="1">
      <c r="A79" s="3" t="inlineStr">
        <is>
          <t xml:space="preserve">   Comparison math (estimates)</t>
        </is>
      </c>
      <c r="B79" s="3" t="inlineStr">
        <is>
          <t>What the same dollars would earn at typical high-yield-savings and money-market rates — '$750/yr' style, labeled estimates with example rates shown.</t>
        </is>
      </c>
      <c r="C79" s="3" t="inlineStr">
        <is>
          <t>NET-NEW small calc: balance × example rate; rates are named constants with an as-of date, never a recommendation of a product.</t>
        </is>
      </c>
      <c r="D79" s="3" t="inlineStr">
        <is>
          <t>cash total × example rates</t>
        </is>
      </c>
      <c r="E79" s="3" t="inlineStr">
        <is>
          <t>Comparison uses the same total shown above it; never advises, shows math.</t>
        </is>
      </c>
    </row>
    <row r="80" ht="46" customHeight="1">
      <c r="A80" s="2" t="inlineStr">
        <is>
          <t xml:space="preserve">   STATES</t>
        </is>
      </c>
      <c r="B80" s="3" t="inlineStr">
        <is>
          <t>• Rates unknown: Accounts without a rate show 'rate not set [add]' — the comparison still runs on the total.
• Hidden balances: Amounts mask; percentages stay.</t>
        </is>
      </c>
      <c r="C80" s="4" t="n"/>
      <c r="D80" s="4" t="n"/>
      <c r="E80" s="4" t="n"/>
    </row>
    <row r="81" ht="287.5" customHeight="1"/>
    <row r="82" ht="46" customHeight="1">
      <c r="A82" s="5" t="inlineStr">
        <is>
          <t>▶ 401(k) room this year — nudge detail  ·  lens: working</t>
        </is>
      </c>
      <c r="B82" s="6" t="inlineStr">
        <is>
          <t>The designed landing for Home's 401(k)-room nudge (previously pointing at a legacy screen): the limit, what's in, what's left, the per-month translation, and the honest 'change it at your employer' line. Links to the forward what-if to see the effect of using the room.</t>
        </is>
      </c>
      <c r="C82" s="7" t="n"/>
      <c r="D82" s="7" t="n"/>
      <c r="E82" s="7" t="n"/>
      <c r="F82" s="7" t="n"/>
      <c r="G82" s="7" t="n"/>
    </row>
    <row r="83" ht="46" customHeight="1">
      <c r="A83" s="8" t="inlineStr">
        <is>
          <t>WIREFRAME</t>
        </is>
      </c>
      <c r="B83" s="9" t="inlineStr">
        <is>
          <t>+------------------------------+
| &lt; Back   401(k) room         |
|                              |
| $9,200 of room left in your  |
| workplace retirement account |
| this year.                   |
|                              |
| The yearly limit   $31,000   |
|  (age 50+ catch-up incl.)    |
| You have put in    $21,800   |
| Room left           $9,200   |
| Months left to use it    6   |
|  = about $1,530/mo           |
|                              |
| Money in a 401(k) grows      |
| without tax until you take   |
| it out. Changing what you    |
| put in happens AT YOUR       |
| EMPLOYER — we just show      |
| the math.                    |
|                              |
| [ Try it in a what-if &gt; ]    |
+------------------------------+</t>
        </is>
      </c>
      <c r="C83" s="3" t="inlineStr">
        <is>
          <t>BUILD NOTE:
NET-NEW light screen aligned with the live app's contribution-room surface; closes walkthrough dead-end #2.</t>
        </is>
      </c>
      <c r="D83" s="3" t="inlineStr">
        <is>
          <t>INTERACTIONS:
Home 401(k) card -&gt; HERE. Try-it -&gt; forward what-if prefilled.</t>
        </is>
      </c>
      <c r="E83" s="3" t="inlineStr">
        <is>
          <t>ACCESSIBILITY:
The four math rows read as one sentence; catch-up rule stated in words.</t>
        </is>
      </c>
    </row>
    <row r="84" ht="40" customHeight="1">
      <c r="A84" s="3" t="inlineStr">
        <is>
          <t xml:space="preserve">   Room math</t>
        </is>
      </c>
      <c r="B84" s="3" t="inlineStr">
        <is>
          <t>Limit (with age-50+ catch-up), contributed so far, room left, and room ÷ months remaining.</t>
        </is>
      </c>
      <c r="C84" s="3" t="inlineStr">
        <is>
          <t>EXISTING: k401Headroom(age, contributions) + IRS_LIMITS (src/domain/income/limits.ts) — the same helper the Home card uses.</t>
        </is>
      </c>
      <c r="D84" s="3" t="inlineStr">
        <is>
          <t>age, year-to-date 401(k) contributions, IRS limit table</t>
        </is>
      </c>
      <c r="E84" s="3" t="inlineStr">
        <is>
          <t>PIN: the room figure = the Home card figure — one helper (k401Headroom).</t>
        </is>
      </c>
    </row>
    <row r="85" ht="32" customHeight="1">
      <c r="A85" s="3" t="inlineStr">
        <is>
          <t xml:space="preserve">   Try-it link</t>
        </is>
      </c>
      <c r="B85" s="3" t="inlineStr">
        <is>
          <t>'Try it in a what-if' opens Invest's forward what-if pre-set to +$1,530/mo.</t>
        </is>
      </c>
      <c r="C85" s="3" t="inlineStr">
        <is>
          <t>Navigation with prefill into the designed forward what-if screen.</t>
        </is>
      </c>
      <c r="D85" s="3" t="inlineStr">
        <is>
          <t>prefill addMonthly</t>
        </is>
      </c>
      <c r="E85" s="3" t="inlineStr">
        <is>
          <t>Same engines as the what-if; no separate math here.</t>
        </is>
      </c>
    </row>
    <row r="86" ht="48" customHeight="1">
      <c r="A86" s="2" t="inlineStr">
        <is>
          <t xml:space="preserve">   STATES</t>
        </is>
      </c>
      <c r="B86" s="3" t="inlineStr">
        <is>
          <t>• No earned income: The nudge never fires (existing B-48 gate), so this screen is unreachable — stated for completeness.
• Hidden balances: Dollar figures mask.</t>
        </is>
      </c>
      <c r="C86" s="4" t="n"/>
      <c r="D86" s="4" t="n"/>
      <c r="E86" s="4" t="n"/>
    </row>
    <row r="88" ht="42" customHeight="1">
      <c r="A88" s="5" t="inlineStr">
        <is>
          <t>▶ Onboarding flow map (first run, end to end)  ·  lens: both</t>
        </is>
      </c>
      <c r="B88" s="6" t="inlineStr">
        <is>
          <t>The missing end-to-end onboarding mockup (M1): five steps from install to a Home with real numbers — value first, questions second (both skippable), the right first action per person, never a dead end.</t>
        </is>
      </c>
      <c r="C88" s="7" t="n"/>
      <c r="D88" s="7" t="n"/>
      <c r="E88" s="7" t="n"/>
      <c r="F88" s="7" t="n"/>
      <c r="G88" s="7" t="n"/>
    </row>
    <row r="89" ht="360" customHeight="1">
      <c r="A89" s="8" t="inlineStr">
        <is>
          <t>WIREFRAME</t>
        </is>
      </c>
      <c r="B89" s="14" t="inlineStr">
        <is>
          <t>STEP 1  What FinWise can do
+------------------------------+
| Your whole money picture in  |
| one place. What needs your   |
| attention — with dollar      |
| amounts. And whether your    |
| money will last, as honest   |
| odds. Read-only: we can      |
| never move your money.       |
| [ Continue ]                 |
+------------------------------+
STEP 2  What did you come for?
        (pick all that apply)
STEP 3  Still working / retired
        -&gt; sets lens + tab order
STEP 4  routed by answers:
  retired+paycheck -&gt; Monthly
    income fast-path (2 numbers,
    no bank login)
  otherwise -&gt; Home empty state:
    Connect / Add by hand /
    Just explore
STEP 5  Home with real data, or
        honest empty states</t>
        </is>
      </c>
      <c r="C89" s="3" t="n"/>
      <c r="D89" s="3" t="n"/>
      <c r="E89" s="3" t="n"/>
      <c r="G89" s="3" t="n"/>
    </row>
    <row r="90" ht="64" customHeight="1">
      <c r="A90" s="3" t="inlineStr">
        <is>
          <t xml:space="preserve">   Step sequence</t>
        </is>
      </c>
      <c r="B90" s="3" t="inlineStr">
        <is>
          <t>Intro (value + read-only promise) → intents (multi-select) → stage → routed first action → Home. Every step skippable; skip = sensible defaults.</t>
        </is>
      </c>
      <c r="C90" s="3" t="inlineStr">
        <is>
          <t>Composes designed screens: what-did-you-come-for, Monthly income (Cash flow), connect flow (Net worth), first-run Home.</t>
        </is>
      </c>
      <c r="D90" s="3" t="inlineStr">
        <is>
          <t>intent[], stage</t>
        </is>
      </c>
      <c r="E90" s="3" t="inlineStr">
        <is>
          <t>The routed fast-paths are the SAME screens reachable later — onboarding has no private screens to drift.</t>
        </is>
      </c>
    </row>
    <row r="91" ht="90" customHeight="1">
      <c r="A91" s="2" t="inlineStr">
        <is>
          <t xml:space="preserve">   STATES</t>
        </is>
      </c>
      <c r="B91" s="3" t="inlineStr">
        <is>
          <t>• Returning user: never shown again; all pieces stay reachable (Settings → Your setup; income screen; connect flow).
• Keyboard open: Continue pinned above the keyboard on any input step (M2 rule).
• BUILD: NET-NEW light flow over existing screens — closes M1 (onboarding mockups).</t>
        </is>
      </c>
      <c r="C91" s="4" t="n"/>
      <c r="D91" s="4" t="n"/>
      <c r="E91" s="4"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76"/>
  <sheetViews>
    <sheetView zoomScale="140" zoomScaleNormal="140" workbookViewId="0">
      <pane ySplit="1" topLeftCell="A2" activePane="bottomLeft" state="frozen"/>
      <selection pane="bottomLeft" activeCell="A69" sqref="A69"/>
    </sheetView>
  </sheetViews>
  <sheetFormatPr baseColWidth="10" defaultColWidth="8.83203125" defaultRowHeight="15"/>
  <cols>
    <col width="30" customWidth="1" min="1" max="1"/>
    <col width="58" customWidth="1" min="2" max="2"/>
    <col width="42" customWidth="1" min="3" max="3"/>
    <col width="30" customWidth="1" min="4" max="4"/>
    <col width="32" customWidth="1" min="5" max="5"/>
    <col width="11" customWidth="1" min="6" max="6"/>
    <col width="24" customWidth="1" min="7" max="7"/>
  </cols>
  <sheetData>
    <row r="1" ht="26" customHeight="1">
      <c r="A1" s="1" t="inlineStr">
        <is>
          <t>Screen / element</t>
        </is>
      </c>
      <c r="B1" s="1" t="inlineStr">
        <is>
          <t>Wireframe (phone) or what it shows</t>
        </is>
      </c>
      <c r="C1" s="1" t="inlineStr">
        <is>
          <t>Data lineage (engine)</t>
        </is>
      </c>
      <c r="D1" s="1" t="inlineStr">
        <is>
          <t>Fields</t>
        </is>
      </c>
      <c r="E1" s="1" t="inlineStr">
        <is>
          <t>Sameness pin</t>
        </is>
      </c>
      <c r="F1" s="1" t="inlineStr">
        <is>
          <t>✅ Approve?</t>
        </is>
      </c>
      <c r="G1" s="1" t="inlineStr">
        <is>
          <t>💬 Your comments</t>
        </is>
      </c>
    </row>
    <row r="2" ht="46" customHeight="1">
      <c r="A2" s="5" t="inlineStr">
        <is>
          <t>▶ Net worth tab — main screen  ·  lens: both</t>
        </is>
      </c>
      <c r="B2" s="6" t="inlineStr">
        <is>
          <t>One true picture of everything you own and owe. A glance (one number, its yearly change, a simple trend) that expands into groups — by what it is, or by where it's held — with every account showing where its number comes from and how fresh it is. Money movement lives in the Cash flow tab; this is the stock view.</t>
        </is>
      </c>
      <c r="C2" s="7" t="n"/>
      <c r="D2" s="7" t="n"/>
      <c r="E2" s="7" t="n"/>
      <c r="F2" s="7" t="n"/>
      <c r="G2" s="7" t="n"/>
    </row>
    <row r="3" ht="409" customHeight="1">
      <c r="A3" s="8" t="inlineStr">
        <is>
          <t>WIREFRAME</t>
        </is>
      </c>
      <c r="B3" s="9" t="inlineStr">
        <is>
          <t>+------------------------------+
| Net worth          [eye] [+] |
|                              |
|         $1,204,900           |
|    up $23,100 this year      |
|   [~~~ 12-month trend ~~~]   |
| Your path ahead (from Plan) &gt;|
|                              |
| WHAT YOU OWN    $1,388,900   |
|  Cash             $46,600 &gt;  |
|  Stocks / ETFs   $700,500 &gt;  |
|  Bonds           $113,000 &gt;  |
|  Alternatives     $30,200 &gt;  |
|  Real estate     $190,000 &gt;  |
|  Unclassified    $308,600 &gt;  |
|   tap to say what's inside   |
| WHAT YOU OWE                 |
|  Mortgage       -$184,000 &gt;  |
| Own $1,388,900 - Owe         |
| $184,000 = $1,204,900        |
|                              |
| v Show accounts &amp; detail     |
| [Class | Institution | Type]  |
|  Fidelity Brokerage $521,300 |
|   Connected . today 6:04 am  |
|  Chase Checking     $12,400  |
|   Manual . you update it     |
|  Vanguard           $98,000  |
|   Imported . Jun 12          |
|                              |
| This month's cash flow    &gt;  |
|  In $9,400 . Out $6,100      |
|                              |
| [ + Add or connect account ] |
+------------------------------+</t>
        </is>
      </c>
      <c r="C3" s="3" t="inlineStr">
        <is>
          <t>BUILD NOTE:
REUSE-HEAVY: NetWorthScreen.tsx already has the donut/summary, class grouping, institution grouping, identity line, runway card, add/edit sheets and hide-balances. Net-new: summary-that-expands shell, source/last_synced fields + chips, monthly snapshot series for the trend, cash-flow glance tile, three-way add chooser, Account detail route.</t>
        </is>
      </c>
      <c r="D3" s="3" t="inlineStr">
        <is>
          <t>INTERACTIONS:
Tap a class row → jump to those accounts (existing scrollToClass). Tap 'Show accounts &amp; detail' → expand/collapse; toggle By class / By institution. Tap an account row → Account detail (screen 5). Tap the cash-flow glance → Cash flow tab. Tap [+] → chooser (Link / Add by hand / Import). Pull to refresh → sync connected accounts + refresh prices. Tap the eye → hide/show balances. 'Your path ahead (from Plan)' taps to the Will-it-last detail in Plan (the band chart + assumptions).</t>
        </is>
      </c>
      <c r="E3" s="3" t="inlineStr">
        <is>
          <t>ACCESSIBILITY:
Every row is a button whose spoken label includes name, amount, source and last-updated ('Fidelity Brokerage, $521,300, connected, updated today 6:04 am'). Own/owe conveyed by section words and minus signs, never color alone; paused connections say 'paused' in text. All targets at least 44 points; text scales with system size; the trend line carries a one-sentence spoken summary.</t>
        </is>
      </c>
      <c r="G3" s="3" t="n"/>
    </row>
    <row r="4" ht="46" customHeight="1">
      <c r="A4" s="3" t="inlineStr">
        <is>
          <t xml:space="preserve">   Headline net worth + change this year + 12-month trend</t>
        </is>
      </c>
      <c r="B4" s="3" t="inlineStr">
        <is>
          <t>The single net worth number (what you own minus what you owe), how much it changed this calendar year, and a simple line graph of the last 12 month-end values. Red with the word 'negative' if you owe more than you own.</t>
        </is>
      </c>
      <c r="C4" s="3" t="inlineStr">
        <is>
          <t>EXISTING: buildNetWorth (src/domain/networth/index.ts), fed by totalAssets (src/domain/assets/index.ts) and totalDebtBalance (src/domain/debt/index.ts). The change and trend are NET-NEW: F1 sync seam saves a month-end snapshot of the buildNetWorth output (no history exists today).</t>
        </is>
      </c>
      <c r="D4" s="3" t="inlineStr">
        <is>
          <t>net_worth, gross_assets, gross_debt; new snapshot series {month, net_worth}</t>
        </is>
      </c>
      <c r="E4" s="3" t="inlineStr">
        <is>
          <t>The exact number shown on Home and everywhere else — every surface calls buildNetWorth(totalAssets, totalDebtBalance); pinned by the cross-screen agreement test (src/domain/assets/agreement.test.ts).</t>
        </is>
      </c>
      <c r="G4" s="3" t="n"/>
    </row>
    <row r="5" ht="46" customHeight="1">
      <c r="A5" s="3" t="inlineStr">
        <is>
          <t xml:space="preserve">   WHAT YOU OWN — one row per asset class</t>
        </is>
      </c>
      <c r="B5" s="3" t="inlineStr">
        <is>
          <t>Your assets grouped by what they actually are: Cash, Stocks / ETFs, Bonds, Alternatives, Real estate, Personal property — plus 'Unclassified' for accounts whose contents you haven't told us yet (we never pretend an unknown account is stocks). Tapping a row jumps to those accounts.</t>
        </is>
      </c>
      <c r="C5" s="3" t="inlineStr">
        <is>
          <t>EXISTING: assetAllocation + assetClassOf + ASSET_CLASS_LABEL (src/domain/assets/index.ts); the tap-to-jump and the 'Unclassified — tap to set' nudge already exist in src/screens/NetWorthScreen.tsx (scrollToClass, NW-15 nudge).</t>
        </is>
      </c>
      <c r="D5" s="3" t="inlineStr">
        <is>
          <t>asset_class, kind, tax_bucket, positions, balance</t>
        </is>
      </c>
      <c r="E5" s="3" t="inlineStr">
        <is>
          <t>The class rows sum exactly to totalAssets — assetAllocation is documented and tested to sum to totalAssets, so 'what you own' always equals the assets half of the headline.</t>
        </is>
      </c>
    </row>
    <row r="6" ht="46" customHeight="1">
      <c r="A6" s="3" t="inlineStr">
        <is>
          <t xml:space="preserve">   WHAT YOU OWE — debt rows</t>
        </is>
      </c>
      <c r="B6" s="3" t="inlineStr">
        <is>
          <t>Each debt with its balance, shown as a minus number with the word 'owe' in the group header (never color alone). The costliest expensive debt keeps its 'pay first' tag.</t>
        </is>
      </c>
      <c r="C6" s="3" t="inlineStr">
        <is>
          <t>EXISTING: buildDebtState / totalDebtBalance (src/domain/debt/index.ts); debt rows + 'pay first' pill in renderDebtSection (src/screens/NetWorthScreen.tsx).</t>
        </is>
      </c>
      <c r="D6" s="3" t="inlineStr">
        <is>
          <t>remaining_balance, interest_rate_apr, minimum_monthly_payment, label, institution</t>
        </is>
      </c>
      <c r="E6" s="3" t="inlineStr">
        <is>
          <t>Same totalDebtBalance feeds the headline, this section total, and the Home glance — one helper, one number.</t>
        </is>
      </c>
    </row>
    <row r="7" ht="46" customHeight="1">
      <c r="A7" s="3" t="inlineStr">
        <is>
          <t xml:space="preserve">   Own − owe = net worth math line</t>
        </is>
      </c>
      <c r="B7" s="3" t="inlineStr">
        <is>
          <t>The arithmetic spelled out under the summary — 'Own $1,388,900 − Owe $184,000 = Net worth $1,204,900' — so the headline is never a mystery number.</t>
        </is>
      </c>
      <c r="C7" s="3" t="inlineStr">
        <is>
          <t>EXISTING: the nwIdentity line in src/screens/NetWorthScreen.tsx already renders 'Assets − Debts = Net worth' from the same three helpers.</t>
        </is>
      </c>
      <c r="D7" s="3" t="inlineStr">
        <is>
          <t>gross_assets, gross_debt, net_worth</t>
        </is>
      </c>
      <c r="E7" s="3" t="inlineStr">
        <is>
          <t>Rendered from the identical buildNetWorth object as the headline — cannot disagree with it.</t>
        </is>
      </c>
    </row>
    <row r="8" ht="46" customHeight="1">
      <c r="A8" s="3" t="inlineStr">
        <is>
          <t xml:space="preserve">   Show accounts &amp; detail (expand) + By class / By institution toggle</t>
        </is>
      </c>
      <c r="B8" s="3" t="inlineStr">
        <is>
          <t>Collapsed by default so the glance stays a glance. Expanding lists every account, grouped either by asset class or by institution (a 'Chase' group shows a small class mix line under it). Tapping an account opens Account detail. v1.1 (c13): third grouping 'By type' — Retirement (401(k) · IRA · Roth) vs Non-retirement; every account row carries its wrapper tag ('· 401(k)').</t>
        </is>
      </c>
      <c r="C8" s="3" t="inlineStr">
        <is>
          <t>EXISTING: the grouping toggle (invGroup 'type'/'account'), institution grouping, class-mix roll-up line and account rows all exist in renderAssetSection (src/screens/NetWorthScreen.tsx). NET-NEW: the collapse/expand shell, and rows now open Account detail instead of the edit sheet.</t>
        </is>
      </c>
      <c r="D8" s="3" t="inlineStr">
        <is>
          <t>institution, label, balance, asset_class, positions (tickers surfaced on the secondary line)</t>
        </is>
      </c>
      <c r="E8" s="3" t="inlineStr">
        <is>
          <t>Group subtotals are sums of the same account balances that feed totalAssets — expanding never changes the total.</t>
        </is>
      </c>
    </row>
    <row r="9" ht="46" customHeight="1">
      <c r="A9" s="3" t="inlineStr">
        <is>
          <t xml:space="preserve">   Source chip + last-updated stamp (every account row)</t>
        </is>
      </c>
      <c r="B9" s="3" t="inlineStr">
        <is>
          <t>Each account says where its number comes from and how fresh it is: 'Connected · today 6:04 am' (icon: link), 'Imported · Jun 12' (icon: file), or 'Manual · you update it' (icon: pencil). A paused connection shows 'Connection paused · last updated Jun 20' with a Fix link — the balance stays, it is never zeroed or dropped.</t>
        </is>
      </c>
      <c r="C9" s="3" t="inlineStr">
        <is>
          <t>NET-NEW: F1 sync seam — new fields source, connection_id, institution_id, last_synced on AssetAccount (src/domain/assets/index.ts). Existing accounts get source:'manual' by a one-time migration; imported accounts get source:'imported' at import time.</t>
        </is>
      </c>
      <c r="D9" s="3" t="inlineStr">
        <is>
          <t>source ('connected'|'imported'|'manual'), connection_id, institution_id, last_synced</t>
        </is>
      </c>
      <c r="E9" s="3" t="inlineStr">
        <is>
          <t>The stamp describes freshness only; the amount itself is always the stored balance that totalAssets sums — stale never means different.</t>
        </is>
      </c>
      <c r="G9" s="3" t="n"/>
    </row>
    <row r="10" ht="46" customHeight="1">
      <c r="A10" s="3" t="inlineStr">
        <is>
          <t xml:space="preserve">   This month's cash flow glance</t>
        </is>
      </c>
      <c r="B10" s="3" t="inlineStr">
        <is>
          <t>One line — money in and money out this month — that links across to the Cash flow tab where movement lives. Kept deliberately tiny so this tab stays the stock view.</t>
        </is>
      </c>
      <c r="C10" s="3" t="inlineStr">
        <is>
          <t>NET-NEW: reads the Cash flow tab's canonical month-in / month-out helper (owned and specified in the Cash flow tab detailed design) — this tile calls the same helper, never re-adds transactions itself.</t>
        </is>
      </c>
      <c r="D10" s="3" t="inlineStr">
        <is>
          <t>month_in, month_out (from the Cash flow engine)</t>
        </is>
      </c>
      <c r="E10" s="3" t="inlineStr">
        <is>
          <t>One helper shared with the Cash flow tab, so the two screens can never show different in/out numbers for the same month.</t>
        </is>
      </c>
    </row>
    <row r="11" ht="46" customHeight="1">
      <c r="A11" s="3" t="inlineStr">
        <is>
          <t xml:space="preserve">   + Add or connect an account</t>
        </is>
      </c>
      <c r="B11" s="3" t="inlineStr">
        <is>
          <t>One button, three honest paths: 'Link it (read-only)', 'Add by hand', 'Import from a file'. Manual and file import stay first-class forever — linking is optional.</t>
        </is>
      </c>
      <c r="C11" s="3" t="inlineStr">
        <is>
          <t>EXISTING: 'Add by hand' opens the existing AssetSheet class-first picker (src/screens/NetWorthScreen.tsx); 'Import from a file' routes to the existing /import-holdings screen. NET-NEW: the 'Link it' path (Connect flow, screen 2) and the three-way chooser.</t>
        </is>
      </c>
      <c r="D11" s="3" t="inlineStr">
        <is>
          <t>n/a (navigation)</t>
        </is>
      </c>
      <c r="E11" s="3" t="inlineStr">
        <is>
          <t>All three paths write accounts through the same store.addAsset / store.updateAsset actions (src/store/useStore.ts), so a linked, imported, or hand-typed account is the same kind of row everywhere.</t>
        </is>
      </c>
      <c r="G11" s="3" t="n"/>
    </row>
    <row r="12" ht="46" customHeight="1">
      <c r="A12" s="3" t="inlineStr">
        <is>
          <t xml:space="preserve">   Hide-balances toggle (eye)</t>
        </is>
      </c>
      <c r="B12" s="3" t="inlineStr">
        <is>
          <t>One tap masks every money amount on this tab (and app-wide) as ••••; the class names, source chips and dates stay visible so the page still reads.</t>
        </is>
      </c>
      <c r="C12" s="3" t="inlineStr">
        <is>
          <t>EXISTING: setHideBalances / BALANCE_MASK in src/domain/_shared/money.ts — the one place masking lives; every formatted amount (money, money2, moneyCompact) masks itself.</t>
        </is>
      </c>
      <c r="D12" s="3" t="inlineStr">
        <is>
          <t>hideBalances (store)</t>
        </is>
      </c>
      <c r="E12" s="3" t="inlineStr">
        <is>
          <t>Because masking lives inside the shared money formatters, no screen can leak an unmasked amount — mask-all is structural, not per-screen.</t>
        </is>
      </c>
    </row>
    <row r="13" ht="46" customHeight="1">
      <c r="A13" s="3" t="inlineStr">
        <is>
          <t xml:space="preserve">   Emergency cushion card (kept, below the fold)</t>
        </is>
      </c>
      <c r="B13" s="3" t="inlineStr">
        <is>
          <t>How many months of spending your cash would cover, with the plain math shown ($ cash ÷ $ monthly spending) and honest wording when there is no cash set aside. Info dot (c17): 'cash = cash + cash equivalents — savings, high-yield savings, money market, CDs, Treasury bills under 12 months' — yes, equivalents included; same cashTotal as the Cash row.</t>
        </is>
      </c>
      <c r="C13" s="3" t="inlineStr">
        <is>
          <t>EXISTING: cashTotal (src/domain/assets/index.ts) ÷ plannedMonthlySpend (src/domain/budget); runway card in src/screens/NetWorthScreen.tsx including the B-44 no-cash wording.</t>
        </is>
      </c>
      <c r="D13" s="3" t="inlineStr">
        <is>
          <t>cash class balances, plannedMonthlySpend</t>
        </is>
      </c>
      <c r="E13" s="3" t="inlineStr">
        <is>
          <t>cashTotal is the same canonical cash number as the Cash row above it; plannedMonthlySpend is the same budget figure the Plan tab uses.</t>
        </is>
      </c>
      <c r="G13" s="3" t="n"/>
    </row>
    <row r="14" ht="46" customHeight="1">
      <c r="A14" s="3" t="inlineStr">
        <is>
          <t xml:space="preserve">   Your path ahead (from your Plan)</t>
        </is>
      </c>
      <c r="B14" s="3" t="inlineStr">
        <is>
          <t>A small link-row under the trend: where the plan's assumptions project net worth from here (range, estimate-labeled). It re-derives when a scenario is adopted in Plan — the F11 propagation promise on this tab. Display (c18): one line + chevron; tapping opens Plan’s band CHART (three labeled lines — bad markets / typical / good markets) with a “view as numbers” table alternative.</t>
        </is>
      </c>
      <c r="C14" s="3" t="inlineStr">
        <is>
          <t>EXISTING engine: projectNestEgg (src/domain/retirement/index.ts:198) with the shared plan assumptions; NET-NEW: this tab reading the shared source (today Net worth ignores it).</t>
        </is>
      </c>
      <c r="D14" s="3" t="inlineStr">
        <is>
          <t>invested balances, shared assumptions (contribMonthly, expectedReturn, retireAge)</t>
        </is>
      </c>
      <c r="E14" s="3" t="inlineStr">
        <is>
          <t>PIN: identical projection to Plan's will-it-last detail band and Invest's forward what-if baseline — one engine, one assumptions source; TODAY's balances never move on adoption (futures only).</t>
        </is>
      </c>
      <c r="G14" s="3" t="n"/>
    </row>
    <row r="15" ht="64" customHeight="1">
      <c r="A15" s="3" t="inlineStr">
        <is>
          <t xml:space="preserve">   Class info dots (c13)</t>
        </is>
      </c>
      <c r="B15" s="3" t="inlineStr">
        <is>
          <t>Every class row gets an (i): Cash (incl. equivalents) · Stocks &amp; funds · Bonds · Alternatives (crypto, gold, private holdings) · Real estate. Same glossary entries as Home.</t>
        </is>
      </c>
      <c r="C15" s="3" t="inlineStr">
        <is>
          <t>Glossary InfoDot; definitions = the canonical taxonomy (assetClassOf).</t>
        </is>
      </c>
      <c r="D15" s="3" t="inlineStr">
        <is>
          <t>none</t>
        </is>
      </c>
      <c r="E15" s="3" t="inlineStr">
        <is>
          <t>One glossary entry per class app-wide.</t>
        </is>
      </c>
      <c r="G15" s="3" t="n"/>
    </row>
    <row r="16" ht="335" customHeight="1">
      <c r="A16" s="2" t="inlineStr">
        <is>
          <t xml:space="preserve">   STATES</t>
        </is>
      </c>
      <c r="B16" s="3" t="inlineStr">
        <is>
          <t>• First run / empty: Shows the trust-building intro (screen: Connect flow entry): plain 'why', the read-only reassurance, link ONE account / add by hand / skip-and-explore. The existing guided-vs-self setup (nwSetupChoice in NetWorthScreen.tsx) gains 'Link an account' as the recommended first option; skipping never dead-ends.
• Loading / refreshing: Last known numbers stay on screen with a small 'updating…' note; prices refresh via the existing throttled maybeRefreshPrices (src/store/useStore.ts), connected balances via the sync seam. Never a blank screen, never a spinner replacing money.
• Connection paused / expired: Affected rows keep their last balance and show 'Connection paused · last updated &lt;date&gt;' (word + icon, amber) with 'Fix connection' opening the re-link flow. Balances are never set to $0 and accounts are never removed.
• Hidden balances: Every amount shows •••• (BALANCE_MASK); trend line hides its number labels; the negative-net-worth word still shows without the figure.
• Negative net worth: Headline and math line turn red AND say the word: 'Net worth −$18,400 · negative — you owe more than you own.' Existing red styling in NetWorthScreen.tsx; the word is the small copy addition.
• All-manual (nothing linked): Fully functional — chips read 'Manual · you update it'; a gentle one-time hint offers linking but never blocks or nags.</t>
        </is>
      </c>
      <c r="C16" s="4" t="n"/>
      <c r="D16" s="4" t="n"/>
      <c r="E16" s="4" t="n"/>
    </row>
    <row r="17" ht="46" customHeight="1"/>
    <row r="18" ht="400" customHeight="1">
      <c r="A18" s="5" t="inlineStr">
        <is>
          <t>▶ Connect flow — choose institution + honest consent  ·  lens: both</t>
        </is>
      </c>
      <c r="B18" s="6" t="inlineStr">
        <is>
          <t>Let a cautious 55–70 user link an account with zero surprises: pick the institution, read exactly what happens to their data (the approved honest wording — data flows through Plaid's servers; we no longer say 'never leaves your device'), then hand off to Plaid's own sign-in. Manual and file import are offered right there, as equals.</t>
        </is>
      </c>
      <c r="C18" s="7" t="n"/>
      <c r="D18" s="7" t="n"/>
      <c r="E18" s="7" t="n"/>
      <c r="F18" s="7" t="n"/>
      <c r="G18" s="7" t="n"/>
    </row>
    <row r="19" ht="46" customHeight="1">
      <c r="A19" s="8" t="inlineStr">
        <is>
          <t>WIREFRAME</t>
        </is>
      </c>
      <c r="B19" s="9" t="inlineStr">
        <is>
          <t>+------------------------------+
| &lt;  Connect an account        |
|                              |
| How do you want to add it?   |
| [ Link it - read only      ] |
|   updates itself             |
| [ Add by hand              ] |
| [ Import from a file       ] |
|                              |
| ---- Link it ----            |
| Find your bank or brokerage  |
| [ Search: fide|           ]  |
|  &gt; Fidelity Investments      |
|  &gt; Fidelity NetBenefits      |
|    (workplace 401(k)s are    |
|     usually here)            |
|                              |
| Before you continue          |
|  . Read-only: we can see     |
|    balances, never move or   |
|    touch your money.         |
|  . You sign in with Plaid,   |
|    a connection service.     |
|    Your login goes to Plaid, |
|    not to us. Your account   |
|    data flows through        |
|    Plaid's servers to reach  |
|    this app.                 |
|  . Disconnect any time —     |
|    your numbers stay yours.  |
|                              |
| [   Continue with Plaid   ]  |
| [ Cancel ]                   |
+------------------------------+</t>
        </is>
      </c>
      <c r="C19" s="3" t="inlineStr">
        <is>
          <t>BUILD NOTE:
NET-NEW screen (F1). Reuses the existing sheet/navigation patterns and the KeyboardAwareSheet component; the server token exchange follows the existing functions/ proxy pattern. The chooser reuses the two existing paths untouched.</t>
        </is>
      </c>
      <c r="D19" s="3" t="inlineStr">
        <is>
          <t>INTERACTIONS:
Pick a path → follow it. Search → pick institution → consent → Continue with Plaid → Plaid's own screens → return to Accounts found (screen 3). Cancel anywhere → back to the chooser, nothing saved.</t>
        </is>
      </c>
      <c r="E19" s="3" t="inlineStr">
        <is>
          <t>ACCESSIBILITY:
Consent card is real text (not an image), scales with system size, and is read in full by the screen reader before the Continue button. Buttons are labeled with outcomes ('Continue to Plaid to sign in to Fidelity, read-only'). Progress states are announced. Color never carries meaning alone.</t>
        </is>
      </c>
      <c r="G19" s="3" t="n"/>
    </row>
    <row r="20" ht="46" customHeight="1">
      <c r="A20" s="3" t="inlineStr">
        <is>
          <t xml:space="preserve">   Three-way chooser (Link / Add by hand / Import)</t>
        </is>
      </c>
      <c r="B20" s="3" t="inlineStr">
        <is>
          <t>The same three paths as the tab's add button, so nobody is funneled into linking. Each option says in one line what it means ('updates itself' vs 'you update it').</t>
        </is>
      </c>
      <c r="C20" s="3" t="inlineStr">
        <is>
          <t>EXISTING: 'Add by hand' → AssetSheet (src/screens/NetWorthScreen.tsx); 'Import from a file' → ImportHoldingsScreen. NET-NEW: F1 sync seam — the Link path.</t>
        </is>
      </c>
      <c r="D20" s="3" t="inlineStr">
        <is>
          <t>n/a (navigation)</t>
        </is>
      </c>
      <c r="E20" s="3" t="inlineStr">
        <is>
          <t>All paths end in the same AssetAccount rows via store.addAsset/updateAsset — the choice changes freshness, never the math.</t>
        </is>
      </c>
    </row>
    <row r="21" ht="46" customHeight="1">
      <c r="A21" s="3" t="inlineStr">
        <is>
          <t xml:space="preserve">   Institution search</t>
        </is>
      </c>
      <c r="B21" s="3" t="inlineStr">
        <is>
          <t>Type-ahead search over institutions (served by Plaid's institution list). Picking one starts the consent step with that name filled in.</t>
        </is>
      </c>
      <c r="C21" s="3" t="inlineStr">
        <is>
          <t>NET-NEW: F1 sync seam — provider call listInstitutions(query); the chosen institution_id is stored on every account the link creates.</t>
        </is>
      </c>
      <c r="D21" s="3" t="inlineStr">
        <is>
          <t>institution_id, institution (display name)</t>
        </is>
      </c>
      <c r="E21" s="3" t="inlineStr">
        <is>
          <t>institution_id becomes the merge key — the same field the merge step and the import flow use, so 'one institution = one account' is enforced with one identifier.</t>
        </is>
      </c>
    </row>
    <row r="22" ht="46" customHeight="1">
      <c r="A22" s="3" t="inlineStr">
        <is>
          <t xml:space="preserve">   Honest consent card</t>
        </is>
      </c>
      <c r="B22" s="3" t="inlineStr">
        <is>
          <t>Three plain sentences, always shown before handing off: read-only (we can never move money); your login goes to Plaid, not us, and your account data flows through Plaid's servers; you can disconnect any time and keep your numbers. This is the approved copy — no 'never leaves your device' claim.</t>
        </is>
      </c>
      <c r="C22" s="3" t="inlineStr">
        <is>
          <t>NET-NEW: F1 sync seam — approved Plaid-decision consent copy (product identity: truth-teller). Replaces the old on-device wording used on the import screen's note (src/screens/ImportHoldingsScreen.tsx) for the linked path only.</t>
        </is>
      </c>
      <c r="D22" s="3" t="inlineStr">
        <is>
          <t>n/a (copy)</t>
        </is>
      </c>
      <c r="E22" s="3" t="inlineStr">
        <is>
          <t>One consent component reused by first link, adding another institution, and re-linking — the promise is worded identically everywhere.</t>
        </is>
      </c>
    </row>
    <row r="23" ht="46" customHeight="1">
      <c r="A23" s="3" t="inlineStr">
        <is>
          <t xml:space="preserve">   Continue with Plaid (hand-off)</t>
        </is>
      </c>
      <c r="B23" s="3" t="inlineStr">
        <is>
          <t>Opens Plaid's own secure sign-in inside the app. We never see or store the password. On success Plaid returns a connection token; we exchange it and fetch the account list.</t>
        </is>
      </c>
      <c r="C23" s="3" t="inlineStr">
        <is>
          <t>NET-NEW: F1 sync seam — Plaid Link software kit + a small server exchange (token swap must not happen on the phone; pattern follows the existing keys-off-client rule from the AI proxy work, functions/).</t>
        </is>
      </c>
      <c r="D23" s="3" t="inlineStr">
        <is>
          <t>connection_id (stored), access token (server-side only, never on device)</t>
        </is>
      </c>
      <c r="E23" s="3" t="inlineStr">
        <is>
          <t>The seam only ever writes balances through the same store actions as manual entry — no second write path to invent a different number.</t>
        </is>
      </c>
    </row>
    <row r="24" ht="70" customHeight="1">
      <c r="A24" s="3" t="inlineStr">
        <is>
          <t xml:space="preserve">   Same-brand disambiguation hint</t>
        </is>
      </c>
      <c r="B24" s="3" t="inlineStr">
        <is>
          <t>When a search returns sibling institutions (Fidelity Investments vs Fidelity NetBenefits), a one-line hint under each: 'workplace 401(k)s are usually under NetBenefits' — the two-Fidelity stumble, answered where it happens.</t>
        </is>
      </c>
      <c r="C24" s="3" t="inlineStr">
        <is>
          <t>copy + institution metadata from the provider list</t>
        </is>
      </c>
      <c r="D24" s="3" t="inlineStr">
        <is>
          <t>institution kind hint</t>
        </is>
      </c>
      <c r="E24" s="3" t="inlineStr">
        <is>
          <t>n/a</t>
        </is>
      </c>
    </row>
    <row r="25" ht="224" customHeight="1">
      <c r="A25" s="2" t="inlineStr">
        <is>
          <t xml:space="preserve">   STATES</t>
        </is>
      </c>
      <c r="B25" s="3" t="inlineStr">
        <is>
          <t>• Searching: Type-ahead list with a clear 'Can't find it? Add it by hand or import a file instead' escape under the results — no dead end.
• Opening Plaid / linking: Full-screen progress with 'Connecting to Fidelity — this can take a few seconds'. Cancel is always available and returns to the chooser with nothing saved.
• Link failed: Plain error ('Fidelity didn't complete the connection. Nothing was added.') with Retry, Add by hand, and Import alternatives. Nothing partial is ever written.
• Re-link (expired connection): Same flow, entered from a 'Fix connection' link; institution is pre-selected and the consent card is shown again. On success, the paused accounts resume updating — same asset_id, history intact.
• Offline: Link path disabled with 'You're offline — you can still add accounts by hand'; manual path fully works.</t>
        </is>
      </c>
      <c r="C25" s="4" t="n"/>
      <c r="D25" s="4" t="n"/>
      <c r="E25" s="4" t="n"/>
    </row>
    <row r="26" ht="46" customHeight="1"/>
    <row r="27" ht="337.5" customHeight="1">
      <c r="A27" s="5" t="inlineStr">
        <is>
          <t>▶ Connect flow — accounts found + merge / reconcile  ·  lens: both</t>
        </is>
      </c>
      <c r="B27" s="6" t="inlineStr">
        <is>
          <t>The anti-duplicate gate. After Plaid returns the institution's accounts, the user picks which to track, and anything that looks like an account they already have becomes a merge question — connect-over-existing updates the existing row (keeping its history and settings) instead of creating a twin. The same sheet serves re-imports.</t>
        </is>
      </c>
      <c r="C27" s="7" t="n"/>
      <c r="D27" s="7" t="n"/>
      <c r="E27" s="7" t="n"/>
      <c r="F27" s="7" t="n"/>
      <c r="G27" s="7" t="n"/>
    </row>
    <row r="28" ht="46" customHeight="1">
      <c r="A28" s="8" t="inlineStr">
        <is>
          <t>WIREFRAME</t>
        </is>
      </c>
      <c r="B28" s="9" t="inlineStr">
        <is>
          <t>+------------------------------+
| Fidelity — connected         |
| Read-only . just now         |
|                              |
| We found 3 accounts.         |
| Choose what to add:          |
| [x] Brokerage ...4821        |
|      $521,300                |
| [x] Roth IRA ...7702         |
|      $118,900                |
| [ ] Checking ...1104         |
|      $2,150                  |
|                              |
| ! One looks like an account  |
|   you already track          |
|   Your 'Fidelity Brokerage'  |
|   (manual, $498,000) matches |
|   Brokerage ...4821.         |
|  (o) Same account — update   |
|      it. Keeps your history. |
|  ( ) Different — keep both   |
|                              |
| Nothing is ever added twice  |
| without asking you.          |
|                              |
| [ Add 2 accounts + update 1 ]|
+------------------------------+</t>
        </is>
      </c>
      <c r="C28" s="3" t="inlineStr">
        <is>
          <t>BUILD NOTE:
NET-NEW screen (F1), but thin: all writes go through existing store.addAsset/updateAsset; the merge sheet component is built once here and REUSED by Import v2 (screen 4). Matching logic is a small pure helper (unit-testable like holdingsImport).</t>
        </is>
      </c>
      <c r="D28" s="3" t="inlineStr">
        <is>
          <t>INTERACTIONS:
Check/uncheck accounts; choose Same/Different per match; confirm. 'Different — keep both' adds a new row whose label gets the last-4 suffix so the two are tellable apart. Back cancels without writing.</t>
        </is>
      </c>
      <c r="E28" s="3" t="inlineStr">
        <is>
          <t>ACCESSIBILITY:
Checkboxes and radio choices are proper toggles with spoken state. The merge question is read as one sentence including both balances. The warning icon is paired with the words 'looks like an account you already track' — never an icon alone.</t>
        </is>
      </c>
    </row>
    <row r="29" ht="46" customHeight="1">
      <c r="A29" s="3" t="inlineStr">
        <is>
          <t xml:space="preserve">   Accounts-found checklist</t>
        </is>
      </c>
      <c r="B29" s="3" t="inlineStr">
        <is>
          <t>Every account Plaid returned, with its name, last-4 digits and current balance, each with a checkbox. Unchecked accounts are simply not tracked (and can be added later). WHAT SYNCS (c20): bank accounts → balances; INVESTMENT accounts → individual holdings (each position with shares, e.g. AMZN × 100) plus balance — a connected brokerage gets per-holding performance exactly like a hand-tracked one.</t>
        </is>
      </c>
      <c r="C29" s="3" t="inlineStr">
        <is>
          <t>NET-NEW: F1 sync seam — fetchAccounts(connection_id). Each checked account is written via the EXISTING store.addAsset (src/store/useStore.ts) with source:'connected', institution_id, connection_id, last_synced.</t>
        </is>
      </c>
      <c r="D29" s="3" t="inlineStr">
        <is>
          <t>label, institution, institution_id, connection_id, balance, kind (mapped from Plaid's account type), source, last_synced</t>
        </is>
      </c>
      <c r="E29" s="3" t="inlineStr">
        <is>
          <t>Linked accounts enter the same accounts array every total reads — totalAssets, assetAllocation and buildNetWorth pick them up with zero new math.</t>
        </is>
      </c>
      <c r="G29" s="3" t="n"/>
    </row>
    <row r="30" ht="46" customHeight="1">
      <c r="A30" s="3" t="inlineStr">
        <is>
          <t xml:space="preserve">   Duplicate-match card (merge rule)</t>
        </is>
      </c>
      <c r="B30" s="3" t="inlineStr">
        <is>
          <t>When a found account matches one you already track, a plain question: same account (update it — recommended) or different (keep both). 'Same' explains what happens: your existing row keeps its history, notes and retirement settings; only the balance and freshness change.</t>
        </is>
      </c>
      <c r="C30" s="3" t="inlineStr">
        <is>
          <t>NET-NEW: F1 sync seam — merge rule: candidate match when institution_id (or normalized institution name) matches AND (account name similarity OR last-4 digits OR balance within 10%). Merge executes via the EXISTING store.updateAsset (keeps asset_id) setting source:'connected', connection_id, last_synced, balance. Precedent: the existing double-count guard in BondsScreen.tsx ('Part of an existing account?') already asks this kind of question.</t>
        </is>
      </c>
      <c r="D30" s="3" t="inlineStr">
        <is>
          <t>institution_id, institution, label, last-4 mask, balance, asset_id (preserved on merge)</t>
        </is>
      </c>
      <c r="E30" s="3" t="inlineStr">
        <is>
          <t>Merge preserves asset_id, so the transaction history (transactions filtered by account_id), retirement earmark (retirement_pct) and class settings all survive — one institution, one account, one continuous number.</t>
        </is>
      </c>
    </row>
    <row r="31" ht="70" customHeight="1">
      <c r="A31" s="3" t="inlineStr">
        <is>
          <t xml:space="preserve">   Confirmation button + honesty line</t>
        </is>
      </c>
      <c r="B31" s="3" t="inlineStr">
        <is>
          <t>The button states exactly what will happen ('Add 2 accounts + update 1'); the line beneath promises nothing is added twice without asking.</t>
        </is>
      </c>
      <c r="C31" s="3" t="inlineStr">
        <is>
          <t>NET-NEW: F1 sync seam (copy + orchestration); writes are the existing store actions only.</t>
        </is>
      </c>
      <c r="D31" s="3" t="inlineStr">
        <is>
          <t>n/a</t>
        </is>
      </c>
      <c r="E31" s="3" t="inlineStr">
        <is>
          <t>After confirming, the Net worth headline updates through the same buildNetWorth path — the user watches one number change once.</t>
        </is>
      </c>
    </row>
    <row r="32" ht="176" customHeight="1">
      <c r="A32" s="2" t="inlineStr">
        <is>
          <t xml:space="preserve">   STATES</t>
        </is>
      </c>
      <c r="B32" s="3" t="inlineStr">
        <is>
          <t>• No duplicates: Merge card doesn't appear; button reads 'Add 3 accounts'.
• Duplicate detected: Merge card appears per match, defaulting to 'Same account — update it'; the button text updates to reflect adds vs updates.
• Working: Button shows progress; on success a brief confirmation ('Fidelity connected — 2 added, 1 updated') then returns to the Net worth tab scrolled to the new rows.
• Fetch failed after link: The connection is saved but marked 'Connection paused'; user is told plainly and can retry from the account rows. Nothing invented, nothing zeroed.
• Hidden balances: Balances in the checklist mask as •••• (the shared money formatters); names and last-4 stay visible so matching still works.</t>
        </is>
      </c>
      <c r="C32" s="4" t="n"/>
      <c r="D32" s="4" t="n"/>
      <c r="E32" s="4" t="n"/>
    </row>
    <row r="33" ht="46" customHeight="1"/>
    <row r="34" ht="362.5" customHeight="1">
      <c r="A34" s="5" t="inlineStr">
        <is>
          <t>▶ Import from a file v2 — pick, review, merge  ·  lens: both</t>
        </is>
      </c>
      <c r="B34" s="6" t="inlineStr">
        <is>
          <t>Import a spreadsheet file downloaded from a brokerage, now with the institution captured, every holding's classification shown AND correctable before saving (crypto, currencies and commodities land in Alternatives, Treasury bills in Cash — not mis-filed as stocks), and a merge step so re-importing the same institution updates instead of duplicating.</t>
        </is>
      </c>
      <c r="C34" s="7" t="n"/>
      <c r="D34" s="7" t="n"/>
      <c r="E34" s="7" t="n"/>
      <c r="F34" s="7" t="n"/>
      <c r="G34" s="7" t="n"/>
    </row>
    <row r="35" ht="46" customHeight="1">
      <c r="A35" s="8" t="inlineStr">
        <is>
          <t>WIREFRAME</t>
        </is>
      </c>
      <c r="B35" s="9" t="inlineStr">
        <is>
          <t>+------------------------------+
| &lt;  Import from a file        |
|                              |
| Which institution is this    |
| file from?                   |
| [ Vanguard               ]   |
|                              |
| Review what we read          |
| Found 5 holdings . 1 skipped |
|                              |
|  VTI      240 sh   $62,400   |
|   [Stocks / ETFs        v]   |
|  BTC      0.5      $31,000   |
|   [Alternatives         v]   |
|  US Trs Bill 8/26  $20,000   |
|   [Cash — Treasury bill v]   |
|  GLD      100 sh   $18,700   |
|   [Alternatives         v]   |
|  Cash              $  ,   -  |
|   [Cash                 v]   |
|  Total            $132,100   |
|                              |
| ! You already track a        |
|   'Vanguard' account.        |
|  (o) Update it (no twin)     |
|  ( ) Add as a new account    |
|                              |
| [    Import 5 holdings    ]  |
+------------------------------+</t>
        </is>
      </c>
      <c r="C35" s="3" t="inlineStr">
        <is>
          <t>BUILD NOTE:
MOSTLY REUSE: parser, preview, save path and error handling exist and are tested (src/domain/import/holdingsImport.test.ts). Net-new: institution field, crypto/currency/commodity patterns in classifyHolding (pure-function change, easy unit tests), per-row class picker, merge step (shared component from screen 3), provenance fields on save.</t>
        </is>
      </c>
      <c r="D35" s="3" t="inlineStr">
        <is>
          <t>INTERACTIONS:
Pick file → review → (fix any class via the row's picker) → set institution → resolve merge question if shown → Import. 'Choose a different file' restarts without saving.</t>
        </is>
      </c>
      <c r="E35" s="3" t="inlineStr">
        <is>
          <t>ACCESSIBILITY:
Each preview row already reads as one grouped sentence (name, class, value) — kept. The class picker announces current and new class. The institution field is labeled and its purpose explained ('so this account files under Vanguard'). Errors are announced, not just colored red.</t>
        </is>
      </c>
    </row>
    <row r="36" ht="46" customHeight="1">
      <c r="A36" s="3" t="inlineStr">
        <is>
          <t xml:space="preserve">   File pick + robust reading</t>
        </is>
      </c>
      <c r="B36" s="3" t="inlineStr">
        <is>
          <t>Pick the file; we read it even when the brokerage exported it in an unusual text encoding, and we tell you plainly if we can't ('Your data is safe — try exporting again').</t>
        </is>
      </c>
      <c r="C36" s="3" t="inlineStr">
        <is>
          <t>EXISTING: pickFile + readCsvText (src/screens/ImportHoldingsScreen.tsx) using readFileString (src/services/fileRead) and decodeCsvBase64 + parseCsv (src/domain/import/holdingsImport.ts).</t>
        </is>
      </c>
      <c r="D36" s="3" t="inlineStr">
        <is>
          <t>raw file text → rows</t>
        </is>
      </c>
      <c r="E36" s="3" t="inlineStr">
        <is>
          <t>One parser for every brokerage file; the preview total is computed from the same parsed rows that get saved.</t>
        </is>
      </c>
    </row>
    <row r="37" ht="46" customHeight="1">
      <c r="A37" s="3" t="inlineStr">
        <is>
          <t xml:space="preserve">   Institution field</t>
        </is>
      </c>
      <c r="B37" s="3" t="inlineStr">
        <is>
          <t>One required question — which institution is this file from? Pre-guessed from the file name when possible. This is what makes the account show up under 'By institution' and what powers the no-duplicates check.</t>
        </is>
      </c>
      <c r="C37" s="3" t="inlineStr">
        <is>
          <t>NET-NEW (v1.1 requirement): the import screen today only asks an account NAME (accountName state) — institution is never captured. New field writes AssetAccount.institution (field EXISTS in src/domain/assets/index.ts) on every account the import creates.</t>
        </is>
      </c>
      <c r="D37" s="3" t="inlineStr">
        <is>
          <t>institution, institution_id (when it matches a known one), source:'imported', last_synced = import date</t>
        </is>
      </c>
      <c r="E37" s="3" t="inlineStr">
        <is>
          <t>Uses the same institution field the By-institution grouping (NetWorthScreen.tsx invGroup 'account') and the merge rule read — one field, three features.</t>
        </is>
      </c>
    </row>
    <row r="38" ht="46" customHeight="1">
      <c r="A38" s="3" t="inlineStr">
        <is>
          <t xml:space="preserve">   Classification review (per-row, editable)</t>
        </is>
      </c>
      <c r="B38" s="3" t="inlineStr">
        <is>
          <t>Every holding shows the class we detected — and a tap lets you correct it before anything is saved. Crypto (BTC, ETH, coin names), foreign currencies and commodities (gold, silver) now classify as Alternatives; Treasury bills as Cash with the treasury tag; bonds as Bonds.</t>
        </is>
      </c>
      <c r="C38" s="3" t="inlineStr">
        <is>
          <t>EXISTING: classifyHolding (src/domain/import/holdingsImport.ts) already routes certificates of deposit / Treasury bills / money-market to cash, put-call contracts to alternatives, bond words to bonds — but has NO crypto/currency/commodity patterns, so those default to stocks today (the v1.1 bug). NET-NEW: extend classifyHolding's patterns + add the per-row class picker (today the class label in the preview is read-only, src/screens/ImportHoldingsScreen.tsx).</t>
        </is>
      </c>
      <c r="D38" s="3" t="inlineStr">
        <is>
          <t>assetClass per ImportedHolding; saved as explicit asset_class (which always wins in assetClassOf)</t>
        </is>
      </c>
      <c r="E38" s="3" t="inlineStr">
        <is>
          <t>The class chosen here is stored as the explicit asset_class, the same field assetClassOf honors first — so the donut, class rows and Alternatives screen all agree with what the user approved in the preview.</t>
        </is>
      </c>
    </row>
    <row r="39" ht="46" customHeight="1">
      <c r="A39" s="3" t="inlineStr">
        <is>
          <t xml:space="preserve">   Merge-not-duplicate step</t>
        </is>
      </c>
      <c r="B39" s="3" t="inlineStr">
        <is>
          <t>If an account from this institution already exists, the same question as the connect flow: update it (recommended, no twin) or add as new. Re-importing next quarter's file refreshes your numbers instead of doubling them.</t>
        </is>
      </c>
      <c r="C39" s="3" t="inlineStr">
        <is>
          <t>NET-NEW: reuses the merge sheet from screen 3 (F1 sync seam merge rule). Update path replaces the matched account's positions/balance via the EXISTING store.updateAsset; add path is today's confirmImport via store.addAsset (src/screens/ImportHoldingsScreen.tsx).</t>
        </is>
      </c>
      <c r="D39" s="3" t="inlineStr">
        <is>
          <t>institution match → asset_id preserved on update; positions, balance, last_synced refreshed</t>
        </is>
      </c>
      <c r="E39" s="3" t="inlineStr">
        <is>
          <t>Same merge rule and same store actions as connecting — the user learns one behavior: 'FinWise never doubles an account'.</t>
        </is>
      </c>
    </row>
    <row r="40" ht="98" customHeight="1">
      <c r="A40" s="3" t="inlineStr">
        <is>
          <t xml:space="preserve">   Import confirm</t>
        </is>
      </c>
      <c r="B40" s="3" t="inlineStr">
        <is>
          <t>One button stating the count; equities become one tracked account (with each holding and its cost preserved), and each cash / bond / alternative line becomes its own correctly-classed entry.</t>
        </is>
      </c>
      <c r="C40" s="3" t="inlineStr">
        <is>
          <t>EXISTING: confirmImport (src/screens/ImportHoldingsScreen.tsx) — equities → one account with positions and derive_balance:true; others → per-class accounts via CLASS_DEFAULTS; prices refresh via store.refreshPrices.</t>
        </is>
      </c>
      <c r="D40" s="3" t="inlineStr">
        <is>
          <t>positions[], lots[], balance, asset_class, kind, tax_bucket, target_return; plus new institution/source/last_synced</t>
        </is>
      </c>
      <c r="E40" s="3" t="inlineStr">
        <is>
          <t>Imported equities join the same positions model the transactions engine and price refresh (recomputeBalances) operate on — imported and hand-entered holdings are indistinguishable downstream.</t>
        </is>
      </c>
    </row>
    <row r="41" ht="64" customHeight="1">
      <c r="A41" s="3" t="inlineStr">
        <is>
          <t xml:space="preserve">   File-format info dot (c19)</t>
        </is>
      </c>
      <c r="B41" s="3" t="inlineStr">
        <is>
          <t>(i) on the file picker: 'A CSV file — the standard export from your brokerage. Must have: symbol and quantity columns. Nice to have: cost, value, purchase date. Most brokerage layouts and odd encodings are handled automatically.'</t>
        </is>
      </c>
      <c r="C41" s="3" t="inlineStr">
        <is>
          <t>Copy over the existing parser (header detection, encodings — holdingsImport.ts).</t>
        </is>
      </c>
      <c r="D41" s="3" t="inlineStr">
        <is>
          <t>none</t>
        </is>
      </c>
      <c r="E41" s="3" t="inlineStr">
        <is>
          <t>Listed required columns = exactly what importHoldings requires.</t>
        </is>
      </c>
    </row>
    <row r="42" ht="46" customHeight="1">
      <c r="A42" s="2" t="inlineStr">
        <is>
          <t xml:space="preserve">   STATES</t>
        </is>
      </c>
      <c r="B42" s="3" t="inlineStr">
        <is>
          <t>• Intro: Existing 'what we look for' card (symbol, quantity, cost columns). The privacy note is reworded to the honest standard: the file is read on this device; your saved data syncs encrypted to your cloud backup.
• Reading file: Existing busy spinner on the button; cancel-safe (nothing saved until confirm).
• Couldn't read the file: Existing plain error with the short technical detail kept (self-diagnosing), plus escape hatches: try another file, or add by hand.
• Preview: Rows with editable class, institution field required before the import button enables; skipped-row count shown honestly.
• Duplicate institution detected: Merge choice card appears; default 'Update existing'; button text reflects the choice.
• Imported: Success confirmation with the count and where they landed ('sorted into cash, investments and more' — existing copy), then back to the Net worth tab; rows show 'Imported · &lt;today&gt;'.
• Hidden balances: All preview amounts mask (money2 already masks under hide-balances — existing behavior).</t>
        </is>
      </c>
      <c r="C42" s="4" t="n"/>
      <c r="D42" s="4" t="n"/>
      <c r="E42" s="4" t="n"/>
    </row>
    <row r="43" ht="362.5" customHeight="1"/>
    <row r="44" ht="46" customHeight="1">
      <c r="A44" s="5" t="inlineStr">
        <is>
          <t>▶ Account detail — any class  ·  lens: both</t>
        </is>
      </c>
      <c r="B44" s="6" t="inlineStr">
        <is>
          <t>One page per account, whatever it is: the balance, where the number comes from and how fresh it is, what the account holds, its full activity history, and the right record-activity buttons for its class — cash accounts get deposit/withdraw/transfer right here (today those are hidden inside the stocks screen), bonds and alternatives get buy AND sell with visible history.</t>
        </is>
      </c>
      <c r="C44" s="7" t="n"/>
      <c r="D44" s="7" t="n"/>
      <c r="E44" s="7" t="n"/>
      <c r="F44" s="7" t="n"/>
      <c r="G44" s="7" t="n"/>
    </row>
    <row r="45" ht="46" customHeight="1">
      <c r="A45" s="8" t="inlineStr">
        <is>
          <t>WIREFRAME</t>
        </is>
      </c>
      <c r="B45" s="9" t="inlineStr">
        <is>
          <t>+------------------------------+
| &lt;  Fidelity Brokerage        |
|  Connected . read-only       |
|  Updated today 6:04 am       |
|                              |
|         $521,300             |
|  Stocks / ETFs . taxable     |
|  Holds: VTI . AAPL . +3      |
|                              |
| [ Edit ]  [ Disconnect ]     |
|                              |
| RECORD ACTIVITY              |
| [Buy] [Sell] [Deposit]       |
| [Withdraw] [Transfer]        |
|                              |
| ACTIVITY                     |
|  Jun 26  Buy VTI             |
|    20 sh @ $260     -$5,200  |
|  Jun 14  Deposit    +$2,000  |
|  Jun 02  Dividend     +$310  |
|  May 30  Sell AAPL  +$4,900  |
|  See all activity -&gt;         |
|                              |
| -- if bond / alternative --  |
| Value as of Jun 30, 2026     |
| [ Update value ]             |
| ! This value is 7 months     |
|   old — still right?         |
+------------------------------+</t>
        </is>
      </c>
      <c r="C45" s="3" t="inlineStr">
        <is>
          <t>BUILD NOTE:
NET-NEW screen, OLD parts: the transactions engine, ledger, trade-sheet interaction pattern (PerformanceScreen.tsx) and editors all exist. Work = one detail route, per-class action mapping, value_as_of field + 6-month rule, and rewiring bond/alt sell (and new buy) through recordTransaction instead of silent balance edits.</t>
        </is>
      </c>
      <c r="D45" s="3" t="inlineStr">
        <is>
          <t>INTERACTIONS:
Tap a record-activity button → small sheet (date defaults today, amount, shares/price for trades, destination account for transfers, preview of the effect) → Save appends to the ledger and updates the balance atomically. Tap a history row → detail with a delete option (deleteTransaction exists; deleting warns it recalculates the balance). Edit → the class-appropriate editor (AssetSheet, BondEditor, AltEditor).</t>
        </is>
      </c>
      <c r="E45" s="3" t="inlineStr">
        <is>
          <t>ACCESSIBILITY:
Action buttons say their outcome ('Record a deposit into Chase Checking'). History rows read as full sentences with signed amounts spoken as 'minus five thousand two hundred dollars'. The stale-value nudge is a labeled alert, and the paused state is announced in words. All amounts respect hidden-balances in spoken output too.</t>
        </is>
      </c>
      <c r="G45" s="3" t="n"/>
    </row>
    <row r="46" ht="46" customHeight="1">
      <c r="A46" s="3" t="inlineStr">
        <is>
          <t xml:space="preserve">   Header: name, source, freshness</t>
        </is>
      </c>
      <c r="B46" s="3" t="inlineStr">
        <is>
          <t>Account name + institution, the source chip (Connected read-only / Imported / Manual) and the last-updated stamp. Paused connections show the amber 'Connection paused' word with a Fix button.</t>
        </is>
      </c>
      <c r="C46" s="3" t="inlineStr">
        <is>
          <t>NET-NEW: F1 sync seam fields (source, last_synced, connection_id) rendered here; account data is the EXISTING AssetAccount (src/domain/assets/index.ts).</t>
        </is>
      </c>
      <c r="D46" s="3" t="inlineStr">
        <is>
          <t>label, institution, source, last_synced, connection_id</t>
        </is>
      </c>
      <c r="E46" s="3" t="inlineStr">
        <is>
          <t>Same chip component and wording as the tab's account rows — source language is identical everywhere.</t>
        </is>
      </c>
    </row>
    <row r="47" ht="46" customHeight="1">
      <c r="A47" s="3" t="inlineStr">
        <is>
          <t xml:space="preserve">   Balance + class/wrapper line + holdings line</t>
        </is>
      </c>
      <c r="B47" s="3" t="inlineStr">
        <is>
          <t>The account's value; underneath, what it is (asset class) and how it's taxed (plain word: taxable / pre-tax (taxed when it comes out) / tax-free (Roth)); for tracked accounts, the tickers it holds.</t>
        </is>
      </c>
      <c r="C47" s="3" t="inlineStr">
        <is>
          <t>EXISTING: balance (rebuilt from positions by recomputeBalances when derive_balance is true — wired in src/store/useStore.ts); assetClassOf + taxTreatmentOf + ASSET_CLASS_LABEL (src/domain/assets/index.ts); ticker surfacing mirrors withTickers in NetWorthScreen.tsx.</t>
        </is>
      </c>
      <c r="D47" s="3" t="inlineStr">
        <is>
          <t>balance, cash_balance, positions, asset_class, tax_treatment, derive_balance</t>
        </is>
      </c>
      <c r="E47" s="3" t="inlineStr">
        <is>
          <t>This balance is the very number totalAssets sums — no per-screen recomputation, per the one-helper rule (repo CLAUDE.md money-math gate).</t>
        </is>
      </c>
    </row>
    <row r="48" ht="46" customHeight="1">
      <c r="A48" s="3" t="inlineStr">
        <is>
          <t xml:space="preserve">   Record-activity buttons (per class)</t>
        </is>
      </c>
      <c r="B48" s="3" t="inlineStr">
        <is>
          <t>Only the actions that make sense for this account: cash accounts → Deposit / Withdraw / Transfer; stock accounts → Buy / Sell / Dividend / Deposit / Withdraw / Transfer; bonds → Buy more / Sell / Coupon received; alternatives → Buy more / Sell. Every action asks date + amount (and shares + price where relevant) and shows the effect before saving.</t>
        </is>
      </c>
      <c r="C48" s="3" t="inlineStr">
        <is>
          <t>EXISTING ENGINE: recordTransaction (src/store/useStore.ts) → applyTransaction (src/domain/transactions/index.ts) with types BUY / SELL / DEPOSIT / WITHDRAWAL / TRANSFER / DIVIDEND / INTEREST / COUPON — pure and tested, including sell-clamping and the cash-goes-to-the-right-field rule (usesSleeve). NET-NEW: surfacing it HERE — today the only entry point is the trade sheet inside the stocks screen (src/screens/PerformanceScreen.tsx), and bond/alternative sales bypass the ledger entirely.</t>
        </is>
      </c>
      <c r="D48" s="3" t="inlineStr">
        <is>
          <t>Transaction {date, type, account_id, counter_account_id, ticker, shares, price, amount, note}</t>
        </is>
      </c>
      <c r="E48" s="3" t="inlineStr">
        <is>
          <t>Every recorded action goes through the ONE engine, so balances update by the same tested rules whether recorded here, on the stocks screen, or (v1.1) in the bond/alternative editors — and the Cash flow tab reads the same ledger.</t>
        </is>
      </c>
    </row>
    <row r="49" ht="98" customHeight="1">
      <c r="A49" s="3" t="inlineStr">
        <is>
          <t xml:space="preserve">   Activity history</t>
        </is>
      </c>
      <c r="B49" s="3" t="inlineStr">
        <is>
          <t>The account's transactions newest-first, each in plain words with its signed cash effect ('Buy VTI, 20 shares at $260, −$5,200'). Bonds and alternatives finally get a visible history instead of silent balance edits.</t>
        </is>
      </c>
      <c r="C49" s="3" t="inlineStr">
        <is>
          <t>EXISTING: store.transactions filtered by account_id (append-only ledger, src/store/useStore.ts); labels via txnLabel and amounts via cashEffect (src/domain/transactions/index.ts).</t>
        </is>
      </c>
      <c r="D49" s="3" t="inlineStr">
        <is>
          <t>transactions[] where account_id = this account</t>
        </is>
      </c>
      <c r="E49" s="3" t="inlineStr">
        <is>
          <t>History and balance can't drift: the balance was produced by applying exactly these ledger entries (applyTransaction), plus price moves for tracked holdings.</t>
        </is>
      </c>
    </row>
    <row r="50" ht="80" customHeight="1">
      <c r="A50" s="3" t="inlineStr">
        <is>
          <t xml:space="preserve">   Value as of &lt;date&gt; + Update value (bonds, alternatives, manual accounts)</t>
        </is>
      </c>
      <c r="B50" s="3" t="inlineStr">
        <is>
          <t>For anything without a live price, the value carries its date ('Value as of Jun 30, 2026'), editable in place. At 6+ months old, a gentle nudge: 'This value is 7 months old — still right?' One tap confirms (re-stamps today) or updates the number.</t>
        </is>
      </c>
      <c r="C50" s="3" t="inlineStr">
        <is>
          <t>NET-NEW (v1.1): field value_as_of on AssetAccount, set whenever balance is hand-edited, imported, or confirmed; staleness rule = value_as_of older than 6 months. Editing writes through the EXISTING store.updateAsset.</t>
        </is>
      </c>
      <c r="D50" s="3" t="inlineStr">
        <is>
          <t>value_as_of ('YYYY-MM-DD'), balance</t>
        </is>
      </c>
      <c r="E50" s="3" t="inlineStr">
        <is>
          <t>The as-of date is display honesty only — the balance remains the single stored number every total reads. Confirming re-stamps the date without touching the amount.</t>
        </is>
      </c>
    </row>
    <row r="51" ht="46" customHeight="1">
      <c r="A51" s="2" t="inlineStr">
        <is>
          <t xml:space="preserve">   STATES</t>
        </is>
      </c>
      <c r="B51" s="3" t="inlineStr">
        <is>
          <t>• Connected, healthy: Edit limits to name/class/retirement settings (balance is read-only, it syncs); Disconnect offered with the promise 'your numbers and history stay — it just stops updating' (source flips to manual, last balance kept).
• Connection paused / expired: Amber 'Connection paused' word + last-updated date + 'Fix connection' into the re-link flow. Balance stays as of last sync. Never $0, never removed.
• Manual: Balance is editable front-and-center; saving re-stamps value_as_of and 'Manual · updated &lt;date&gt;'.
• Imported: Shows 'Imported · &lt;date&gt;' with a 'Re-import a newer file' shortcut into Import v2, which lands on the merge step pre-matched to this account.
• No activity yet: History area invites the first record ('Log a deposit or a buy — your history starts here'); the opening balance shows as 'Opening balance' context, matching the OPENING_CASH / OPENING_POSITION ledger types.
• Stale value (bond/alt/manual, 6+ months): Nudge appears here AND as a small clock-word tag on the account's row in the tab. Confirm or update clears it.
• Hidden balances: All amounts mask via the shared formatters; activity types and dates stay readable.</t>
        </is>
      </c>
      <c r="C51" s="4" t="n"/>
      <c r="D51" s="4" t="n"/>
      <c r="E51" s="4" t="n"/>
    </row>
    <row r="52" ht="337.5" customHeight="1"/>
    <row r="53" ht="46" customHeight="1">
      <c r="A53" s="5" t="inlineStr">
        <is>
          <t>▶ Bond editor — add, buy, sell, as-of  ·  lens: both</t>
        </is>
      </c>
      <c r="B53" s="6" t="inlineStr">
        <is>
          <t>Track an individual bond or Treasury bill honestly: its face value, interest payments, maturity, a current value that carries its date (with a nudge when it goes stale), and — new in v1.1 — both buying more and selling recorded as visible history, not silent edits.</t>
        </is>
      </c>
      <c r="C53" s="7" t="n"/>
      <c r="D53" s="7" t="n"/>
      <c r="E53" s="7" t="n"/>
      <c r="F53" s="7" t="n"/>
      <c r="G53" s="7" t="n"/>
    </row>
    <row r="54" ht="46" customHeight="1">
      <c r="A54" s="8" t="inlineStr">
        <is>
          <t>WIREFRAME</t>
        </is>
      </c>
      <c r="B54" s="9" t="inlineStr">
        <is>
          <t>+------------------------------+
| Add / edit a bond            |
|                              |
| Name  [US Treasury 2030   ]  |
| Kind: (o) Treasury bill      |
|       ( ) Treasury / muni /  |
|           corporate bond     |
| Institution [Fidelity     ]  |
| Face value  [$10,000      ]  |
| Interest rate [4.5 %/yr   ]  |
| Matures   [Jan 15, 2030   ]  |
|  under 12 months = counts    |
|  as cash, else as a bond     |
| Current value [$9,800     ]  |
|  Value as of Jun 30, 2026    |
|  ! 7 months old - update?    |
| Held in [Taxable][Retirement]|
|         [Roth]               |
|                              |
| RECORD ACTIVITY              |
| [ Buy more ]   [ Sell ]      |
|  Jun 12  Buy        $5,000   |
|  Mar 03  Sell       $2,000   |
|                              |
| [        Save bond        ]  |
| Delete bond                  |
+------------------------------+</t>
        </is>
      </c>
      <c r="C54" s="3" t="inlineStr">
        <is>
          <t>BUILD NOTE:
REUSE: BondEditor form, validity, date picker, double-count guard, proportional-sale math, metrics. Net-new: 'treasury' kind entry, value_as_of + nudge, Buy-more action, and rewiring sale/buy/coupon through recordTransaction (small, well-tested seam — applyTransaction already supports all three types).</t>
        </is>
      </c>
      <c r="D54" s="3" t="inlineStr">
        <is>
          <t>INTERACTIONS:
Kind toggle switches Treasury bill / bond wording. Maturity date opens the existing native date picker (default-commit fix kept). Buy more / Sell open small amount+date sheets with a before/after preview; Save writes ledger + account atomically. 'Sold the whole position' shortcut prefills the full amount (existing).</t>
        </is>
      </c>
      <c r="E54" s="3" t="inlineStr">
        <is>
          <t>ACCESSIBILITY:
Every field labeled; the maturity picker announces the chosen date (existing accessibility label kept). The 12-month cash-vs-bond rule is stated in visible text under the date, not hidden in a tooltip. Sale confirmations read the full sentence including both values. Nudges are announced alerts.</t>
        </is>
      </c>
      <c r="G54" s="3" t="n"/>
    </row>
    <row r="55" ht="46" customHeight="1">
      <c r="A55" s="3" t="inlineStr">
        <is>
          <t xml:space="preserve">   Bond fields (name, institution, face, rate, maturity, value, held-in)</t>
        </is>
      </c>
      <c r="B55" s="3" t="inlineStr">
        <is>
          <t>The existing add/edit form: name, optional institution, face value, yearly interest rate, maturity date via a date picker, current value (blank = face), and which wrapper it sits in.</t>
        </is>
      </c>
      <c r="C55" s="3" t="inlineStr">
        <is>
          <t>EXISTING: BondEditor (src/screens/BondsScreen.tsx) — fields face_value, coupon_rate, maturity_date, balance, institution, tax_bucket on AssetAccount; date-picker default-commit fix (#11) kept; the double-count guard ('Part of an existing account?' alert) kept.</t>
        </is>
      </c>
      <c r="D55" s="3" t="inlineStr">
        <is>
          <t>label, institution, face_value, coupon_rate, maturity_date, balance, tax_bucket, kind</t>
        </is>
      </c>
      <c r="E55" s="3" t="inlineStr">
        <is>
          <t>A bond IS an AssetAccount, so it flows into totalAssets, the Bonds class row and the nest egg with zero extra plumbing — that is the existing design, unchanged.</t>
        </is>
      </c>
    </row>
    <row r="56" ht="46" customHeight="1">
      <c r="A56" s="3" t="inlineStr">
        <is>
          <t xml:space="preserve">   Treasury-bill sub-kind</t>
        </is>
      </c>
      <c r="B56" s="3" t="inlineStr">
        <is>
          <t>A one-tap kind choice: Treasury bill vs regular bond. Picking Treasury bill labels it properly everywhere and applies the approved rule automatically: maturing within 12 months it counts as cash, longer counts as a bond.</t>
        </is>
      </c>
      <c r="C56" s="3" t="inlineStr">
        <is>
          <t>NET-NEW (v1.1): add kind 'treasury' to ASSET_KINDS (src/domain/assets/index.ts). The 12-month rule ALREADY EXISTS: maturityClass (src/domain/assets/index.ts) — applied once at save, stored as explicit asset_class (approved entry rule, build-34 #8); isCashEquivalentLabel already catches 'T-bill' wording.</t>
        </is>
      </c>
      <c r="D56" s="3" t="inlineStr">
        <is>
          <t>kind:'treasury', asset_class (set once via maturityClass), maturity_date</t>
        </is>
      </c>
      <c r="E56" s="3" t="inlineStr">
        <is>
          <t>Because the class is stored explicitly at save (assetClassOf honors it first), the tab's Cash and Bonds rows, the donut and the importer all file the same Treasury bill the same way.</t>
        </is>
      </c>
    </row>
    <row r="57" ht="46" customHeight="1">
      <c r="A57" s="3" t="inlineStr">
        <is>
          <t xml:space="preserve">   Value as of + staleness nudge</t>
        </is>
      </c>
      <c r="B57" s="3" t="inlineStr">
        <is>
          <t>The current value always shows the date you last set it, editable in place. At 6+ months a nudge asks 'still right?' — confirm re-stamps today, or type the new value.</t>
        </is>
      </c>
      <c r="C57" s="3" t="inlineStr">
        <is>
          <t>NET-NEW (v1.1): value_as_of field (shared with screen 5); today the bonds screen footnote admits 'value is what you enter' but carries no date. Rendering rule shared app-wide.</t>
        </is>
      </c>
      <c r="D57" s="3" t="inlineStr">
        <is>
          <t>value_as_of, balance</t>
        </is>
      </c>
      <c r="E57" s="3" t="inlineStr">
        <is>
          <t>Same field and same 6-month rule as alternatives and manual accounts — one staleness concept, one wording.</t>
        </is>
      </c>
    </row>
    <row r="58" ht="98" customHeight="1">
      <c r="A58" s="3" t="inlineStr">
        <is>
          <t xml:space="preserve">   Buy more + Sell with history</t>
        </is>
      </c>
      <c r="B58" s="3" t="inlineStr">
        <is>
          <t>'Buy more' records a purchase (amount, date) that raises the value and face proportionally; 'Sell' records full or partial proceeds. Both appear in the visible history here and in Account detail. A full sale asks 'Close this bond?' before removing it.</t>
        </is>
      </c>
      <c r="C58" s="3" t="inlineStr">
        <is>
          <t>EXISTING (partial): applySale in BondsScreen.tsx handles partial sale (lowers balance, scales face_value proportionally) and full close — but as a silent balance edit, sale-only, no buy, no trace. NET-NEW (v1.1): route both through recordTransaction (src/store/useStore.ts) as BUY / SELL ledger entries (types EXIST in src/domain/transactions/index.ts) so history is real; COUPON entries record interest received.</t>
        </is>
      </c>
      <c r="D58" s="3" t="inlineStr">
        <is>
          <t>Transaction {type:'BUY'|'SELL'|'COUPON', account_id, amount, date}; face_value scaled on partial sale (existing proportional rule kept)</t>
        </is>
      </c>
      <c r="E58" s="3" t="inlineStr">
        <is>
          <t>Bond buys/sells land in the same ledger the Cash flow tab and Account detail read — the confirmation sheet still previews the before/after values exactly as today's alert does.</t>
        </is>
      </c>
    </row>
    <row r="59" ht="64" customHeight="1">
      <c r="A59" s="3" t="inlineStr">
        <is>
          <t xml:space="preserve">   Bond metrics (context, unchanged)</t>
        </is>
      </c>
      <c r="B59" s="3" t="inlineStr">
        <is>
          <t>Yearly interest income, current yield, estimated yield-to-maturity and the soonest maturity — labeled as estimates, matching the truth-teller rule.</t>
        </is>
      </c>
      <c r="C59" s="3" t="inlineStr">
        <is>
          <t>EXISTING: bondInfo, annualCoupon, currentYield, approxYTM, yearsToMaturity, bondSummary (src/domain/bonds); the 'estimate' footnote already exists on BondsScreen.tsx.</t>
        </is>
      </c>
      <c r="D59" s="3" t="inlineStr">
        <is>
          <t>face_value, coupon_rate, maturity_date, balance</t>
        </is>
      </c>
      <c r="E59" s="3" t="inlineStr">
        <is>
          <t>Metrics derive from the same four stored fields the editor saves — no second copy of the bond's numbers.</t>
        </is>
      </c>
    </row>
    <row r="60" ht="64" customHeight="1">
      <c r="A60" s="3" t="inlineStr">
        <is>
          <t xml:space="preserve">   Provenance header (c23)</t>
        </is>
      </c>
      <c r="B60" s="3" t="inlineStr">
        <is>
          <t>This editor is the MANUAL path. A connected or imported bond opens the same detail with its provenance chip ('Connected · read-only' / 'Imported · Jun 12') and facts pre-filled; you edit only what the source doesn't provide.</t>
        </is>
      </c>
      <c r="C60" s="3" t="inlineStr">
        <is>
          <t>source/last_synced fields (F1).</t>
        </is>
      </c>
      <c r="D60" s="3" t="inlineStr">
        <is>
          <t>source, last_synced</t>
        </is>
      </c>
      <c r="E60" s="3" t="inlineStr">
        <is>
          <t>Same chip component as account rows.</t>
        </is>
      </c>
    </row>
    <row r="61" ht="337.5" customHeight="1">
      <c r="A61" s="2" t="inlineStr">
        <is>
          <t xml:space="preserve">   STATES</t>
        </is>
      </c>
      <c r="B61" s="3" t="inlineStr">
        <is>
          <t>• Add new: Save disabled until name, face value, rate and a valid maturity date exist (existing validity rule). If the institution matches a non-bond account with a balance, the existing double-count question fires ('part of it' lowers that account so nothing counts twice).
• Edit: All fields prefilled (existing); history section visible; Delete confirms.
• Stale value: 6+ month nudge under Current value; also tagged on the bond's row on the Bonds screen and the Net worth tab ('value from Nov 2025').
• Partial sale recorded: Confirmation previews old → new value and the proportional face adjustment (existing alert copy kept), then writes the SELL entry and updates the row.
• Full sale / close: 'Close this bond?' confirm (existing); v1.1 keeps the SELL entry in the ledger so the history survives the account's removal.
• Matured bond: Row shows '(matured)' (existing yearsToMaturity rendering) plus a prompt: 'Matured — record what you received and close it?'
• Hidden balances: All amounts mask; dates, rate and maturity stay visible.</t>
        </is>
      </c>
      <c r="C61" s="4" t="n"/>
      <c r="D61" s="4" t="n"/>
      <c r="E61" s="4" t="n"/>
    </row>
    <row r="62" ht="46" customHeight="1"/>
    <row r="63" ht="46" customHeight="1">
      <c r="A63" s="5" t="inlineStr">
        <is>
          <t>▶ Alternative editor — add, buy, sell, as-of  ·  lens: both</t>
        </is>
      </c>
      <c r="B63" s="6" t="inlineStr">
        <is>
          <t>Track anything that isn't a stock, bond or bank account — crypto, private funds, gold, annuities, option contracts — at a value you set, with that value carrying its date, a nudge when it goes stale, and buying/selling recorded as visible history (today: sale-only, and it leaves no trace).</t>
        </is>
      </c>
      <c r="C63" s="7" t="n"/>
      <c r="D63" s="7" t="n"/>
      <c r="E63" s="7" t="n"/>
      <c r="F63" s="7" t="n"/>
      <c r="G63" s="7" t="n"/>
    </row>
    <row r="64" ht="46" customHeight="1">
      <c r="A64" s="8" t="inlineStr">
        <is>
          <t>WIREFRAME</t>
        </is>
      </c>
      <c r="B64" s="9" t="inlineStr">
        <is>
          <t>+------------------------------+
| Add / edit an investment     |
|                              |
| Type [Crypto][Private eq.]   |
|      [Hedge fund][Gold]      |
|      [Annuity][Options]      |
|      [Other]                 |
|  Highly volatile — size it   |
|  accordingly. ~8%/yr         |
|  historical benchmark.       |
| Name  [Bitcoin            ]  |
| Where it's held              |
|       [Coinbase           ]  |
| Current value [$31,000    ]  |
|  Value as of Jun 30, 2026    |
|  ! 8 months old - update?    |
| Held in [Taxable][Retirement]|
|         [Roth]               |
|                              |
| RECORD ACTIVITY              |
| [ Buy more ]   [ Sell ]      |
|  Jun 20  Buy        $2,000   |
|  Apr 02  Sell       $5,000   |
|                              |
| [          Save           ]  |
| Delete                       |
+------------------------------+</t>
        </is>
      </c>
      <c r="C64" s="3" t="inlineStr">
        <is>
          <t>BUILD NOTE:
REUSE: the whole AltEditor form, hints, benchmarks, sale confirmations and delete flow. Net-new: value_as_of + nudge, Buy-more, and routing buy/sell through recordTransaction — same small seam as the bond editor, shared action-sheet component.</t>
        </is>
      </c>
      <c r="D64" s="3" t="inlineStr">
        <is>
          <t>INTERACTIONS:
Type chips switch hint + benchmark live (existing). Buy more / Sell open the shared amount+date sheet with before/after preview. 'Sold all of it' shortcut prefills the full value (existing). Save/Cancel as today.</t>
        </is>
      </c>
      <c r="E64" s="3" t="inlineStr">
        <is>
          <t>ACCESSIBILITY:
Chips are toggle buttons with selected state announced. Hints are visible text, not tooltips. Sale/close confirmations read as full sentences with both values. The staleness nudge is an announced alert paired with the clock icon and words.</t>
        </is>
      </c>
      <c r="G64" s="3" t="n"/>
    </row>
    <row r="65" ht="46" customHeight="1">
      <c r="A65" s="3" t="inlineStr">
        <is>
          <t xml:space="preserve">   Type chips + honest hint</t>
        </is>
      </c>
      <c r="B65" s="3" t="inlineStr">
        <is>
          <t>Pick what it is; each type shows a one-line truth ('Illiquid; values are estimates until a sale') and its historical benchmark, labeled as a benchmark, not a promise.</t>
        </is>
      </c>
      <c r="C65" s="3" t="inlineStr">
        <is>
          <t>EXISTING: AltEditor (src/screens/OtherInvestmentsScreen.tsx) — ALT_KINDS chips (src/domain/alternatives), ALT_HINT copy, benchmarkReturn (src/domain/assets/index.ts) with sources in BENCHMARK_META.</t>
        </is>
      </c>
      <c r="D65" s="3" t="inlineStr">
        <is>
          <t>kind, target_return</t>
        </is>
      </c>
      <c r="E65" s="3" t="inlineStr">
        <is>
          <t>The same benchmarkReturn feeds this hint, the Alternatives screen summary and the retirement projection's blended return — one benchmark table.</t>
        </is>
      </c>
    </row>
    <row r="66" ht="84" customHeight="1">
      <c r="A66" s="3" t="inlineStr">
        <is>
          <t xml:space="preserve">   Name, institution, value, held-in</t>
        </is>
      </c>
      <c r="B66" s="3" t="inlineStr">
        <is>
          <t>The existing form: name, where it's held (institution — this is what groups it under 'By institution' on the tab), current value, and its tax wrapper.</t>
        </is>
      </c>
      <c r="C66" s="3" t="inlineStr">
        <is>
          <t>EXISTING: AltEditor fields → store.addAsset / store.updateAsset (src/store/useStore.ts); AssetAccount.institution, balance, tax_bucket.</t>
        </is>
      </c>
      <c r="D66" s="3" t="inlineStr">
        <is>
          <t>label, institution, balance, tax_bucket, asset_class:'alternatives'</t>
        </is>
      </c>
      <c r="E66" s="3" t="inlineStr">
        <is>
          <t>An alternative IS an AssetAccount with class 'alternatives' — alternativesTotal, the donut and the tab's Alternatives row all read the same stored balance.</t>
        </is>
      </c>
    </row>
    <row r="67" ht="64" customHeight="1">
      <c r="A67" s="3" t="inlineStr">
        <is>
          <t xml:space="preserve">   Value as of + staleness nudge</t>
        </is>
      </c>
      <c r="B67" s="3" t="inlineStr">
        <is>
          <t>'Value as of &lt;date&gt;' under the value, editable in place; at 6+ months: 'This value is 8 months old — still right?' Confirm re-stamps, or update the number. Especially important here — these have no live prices.</t>
        </is>
      </c>
      <c r="C67" s="3" t="inlineStr">
        <is>
          <t>NET-NEW (v1.1): value_as_of field (same field, rule and wording as bonds and manual accounts); today the screen's footnote says 'values are what you enter' with no date.</t>
        </is>
      </c>
      <c r="D67" s="3" t="inlineStr">
        <is>
          <t>value_as_of, balance</t>
        </is>
      </c>
      <c r="E67" s="3" t="inlineStr">
        <is>
          <t>One staleness rule app-wide (6 months) — same words on bonds, alternatives and manual accounts.</t>
        </is>
      </c>
    </row>
    <row r="68" ht="112" customHeight="1">
      <c r="A68" s="3" t="inlineStr">
        <is>
          <t xml:space="preserve">   Buy more + Sell with history</t>
        </is>
      </c>
      <c r="B68" s="3" t="inlineStr">
        <is>
          <t>'Buy more' records money added (raises the value); 'Sell' records full or partial proceeds (existing confirmations kept: partial lowers it, full asks 'Close this investment?'). Both write visible history rows.</t>
        </is>
      </c>
      <c r="C68" s="3" t="inlineStr">
        <is>
          <t>EXISTING (partial): applySale in OtherInvestmentsScreen.tsx — sale-only, silent balance edit, full sale just deletes. NET-NEW (v1.1): both actions write BUY / SELL entries via recordTransaction (src/store/useStore.ts) so the history survives and the Cash flow tab sees the movement.</t>
        </is>
      </c>
      <c r="D68" s="3" t="inlineStr">
        <is>
          <t>Transaction {type:'BUY'|'SELL', account_id, amount, date}</t>
        </is>
      </c>
      <c r="E68" s="3" t="inlineStr">
        <is>
          <t>Identical action sheet and ledger path as bonds and Account detail — record once, read everywhere.</t>
        </is>
      </c>
    </row>
    <row r="69" ht="192" customHeight="1">
      <c r="A69" s="2" t="inlineStr">
        <is>
          <t xml:space="preserve">   STATES</t>
        </is>
      </c>
      <c r="B69" s="3" t="inlineStr">
        <is>
          <t>• Add new: Save disabled until name and a value above zero exist (existing validity).
• Edit: Prefilled; history visible; Delete uses the existing 'Delete this holding?' confirm.
• Stale value (6+ months): Nudge under the value; a clock-word tag ('value from Oct 2025') shows on the holding's row on the Alternatives screen and the Net worth tab.
• Sale recorded: Confirmation previews old → new value (existing alert copy), then the SELL entry appears in history.
• Full sale: 'Close this investment?' (existing); the ledger keeps the record after the row is removed.
• Hidden balances: Amounts mask; type, name and dates stay visible.</t>
        </is>
      </c>
      <c r="C69" s="4" t="n"/>
      <c r="D69" s="4" t="n"/>
      <c r="E69" s="4" t="n"/>
    </row>
    <row r="71" ht="42" customHeight="1">
      <c r="A71" s="5" t="inlineStr">
        <is>
          <t>▶ Add or edit an account by hand (dynamic by class)  ·  lens: both</t>
        </is>
      </c>
      <c r="B71" s="6" t="inlineStr">
        <is>
          <t>The missing manual-add mockup (M1 + c15/c16): ONE dynamic screen — pick what it is, only that class's fields appear, required ones marked. Edit mode is this screen pre-filled (the 'manual update' view), saving balance + as-of date together.</t>
        </is>
      </c>
      <c r="C71" s="7" t="n"/>
      <c r="D71" s="7" t="n"/>
      <c r="E71" s="7" t="n"/>
      <c r="F71" s="7" t="n"/>
      <c r="G71" s="7" t="n"/>
    </row>
    <row r="72" ht="375" customHeight="1">
      <c r="A72" s="8" t="inlineStr">
        <is>
          <t>WIREFRAME</t>
        </is>
      </c>
      <c r="B72" s="14" t="inlineStr">
        <is>
          <t>+------------------------------+
| &lt; Back   Add an account      |
|                              |
| What is it?                  |
| [Cash][Stocks &amp; funds]       |
| [Bonds][Alternatives]        |
| [Real estate][Debt]          |
|                              |
| -- fields adapt by class --  |
| e.g. CASH:                   |
|  Name      [Chase checking ] |
|  Institution [Chase        ] |
|  Balance   [$ 12,400       ] |
|  Interest rate [0.0 %] (opt) |
|                              |
| Held in (if investment)      |
|  [Taxable][401(k)/IRA][Roth] |
|                              |
| Retirement earmark  100% (i) |
|                              |
|  value as of Jul 6, 2026     |
|                              |
| [        Save             ]  |
|  (stays above the keyboard)  |
+------------------------------+</t>
        </is>
      </c>
      <c r="C72" s="3" t="n"/>
      <c r="D72" s="3" t="n"/>
      <c r="E72" s="3" t="n"/>
      <c r="G72" s="3" t="n"/>
    </row>
    <row r="73" ht="64" customHeight="1">
      <c r="A73" s="3" t="inlineStr">
        <is>
          <t xml:space="preserve">   Class picker → dynamic fields (c16)</t>
        </is>
      </c>
      <c r="B73" s="3" t="inlineStr">
        <is>
          <t>Per class: CASH name·institution·balance·rate(opt) | STOCKS &amp; FUNDS institution·balance OR holdings (ticker+shares) | BONDS the bond form | ALTERNATIVES type·name·value | REAL ESTATE value + what-you-owe | DEBT the debt form. Wrapper chips only for investment classes; required fields marked.</t>
        </is>
      </c>
      <c r="C73" s="3" t="inlineStr">
        <is>
          <t>EXISTING AssetSheet/BondEditor/AltEditor/DebtSheet field sets unified behind one class-first entry; writes via store.addAsset/updateAsset.</t>
        </is>
      </c>
      <c r="D73" s="3" t="inlineStr">
        <is>
          <t>per class + tax_bucket + retirement_pct</t>
        </is>
      </c>
      <c r="E73" s="3" t="inlineStr">
        <is>
          <t>Same fields the editors save today — one write path.</t>
        </is>
      </c>
      <c r="G73" s="3" t="n"/>
    </row>
    <row r="74" ht="64" customHeight="1">
      <c r="A74" s="3" t="inlineStr">
        <is>
          <t xml:space="preserve">   Edit mode = manual update (c15)</t>
        </is>
      </c>
      <c r="B74" s="3" t="inlineStr">
        <is>
          <t>Opening an existing manual account shows this screen pre-filled; saving updates balance AND stamps value-as-of together.</t>
        </is>
      </c>
      <c r="C74" s="3" t="inlineStr">
        <is>
          <t>updateAsset + value_as_of.</t>
        </is>
      </c>
      <c r="D74" s="3" t="inlineStr">
        <is>
          <t>balance, value_as_of</t>
        </is>
      </c>
      <c r="E74" s="3" t="inlineStr">
        <is>
          <t>Same as-of rule as bonds/alternatives — one staleness concept.</t>
        </is>
      </c>
      <c r="G74" s="3" t="n"/>
    </row>
    <row r="75" ht="64" customHeight="1">
      <c r="A75" s="3" t="inlineStr">
        <is>
          <t xml:space="preserve">   Keyboard-safe Save (M2)</t>
        </is>
      </c>
      <c r="B75" s="3" t="inlineStr">
        <is>
          <t>Save pinned above the keyboard; focused field auto-scrolls into view. Gate-checked.</t>
        </is>
      </c>
      <c r="C75" s="3" t="inlineStr">
        <is>
          <t>UX keyboard rule.</t>
        </is>
      </c>
      <c r="D75" s="3" t="inlineStr">
        <is>
          <t>none</t>
        </is>
      </c>
      <c r="E75" s="3" t="inlineStr">
        <is>
          <t>One rule on every input screen.</t>
        </is>
      </c>
      <c r="G75" s="3" t="n"/>
    </row>
    <row r="76" ht="90" customHeight="1">
      <c r="A76" s="2" t="inlineStr">
        <is>
          <t xml:space="preserve">   STATES</t>
        </is>
      </c>
      <c r="B76" s="3" t="inlineStr">
        <is>
          <t>• Add: Save disabled until the class's required fields are set.
• Edit: pre-filled; Delete with confirm.
• Keyboard open: primary button always visible (M2).
• Hidden balances: existing amounts masked until a field is focused.
• BUILD: NET-NEW screen unifying EXISTING editors behind one class-first flow (M1, c15, c16).</t>
        </is>
      </c>
      <c r="C76" s="4" t="n"/>
      <c r="D76" s="4" t="n"/>
      <c r="E76" s="4" t="n"/>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88"/>
  <sheetViews>
    <sheetView zoomScale="159" workbookViewId="0">
      <pane ySplit="1" topLeftCell="A2" activePane="bottomLeft" state="frozen"/>
      <selection pane="bottomLeft" activeCell="A74" sqref="A74"/>
    </sheetView>
  </sheetViews>
  <sheetFormatPr baseColWidth="10" defaultColWidth="8.83203125" defaultRowHeight="15"/>
  <cols>
    <col width="30" customWidth="1" min="1" max="1"/>
    <col width="58" customWidth="1" min="2" max="2"/>
    <col width="42" customWidth="1" min="3" max="3"/>
    <col width="30" customWidth="1" min="4" max="4"/>
    <col width="32" customWidth="1" min="5" max="5"/>
    <col width="11" customWidth="1" min="6" max="6"/>
    <col width="24" customWidth="1" min="7" max="7"/>
  </cols>
  <sheetData>
    <row r="1" ht="26" customHeight="1">
      <c r="A1" s="1" t="inlineStr">
        <is>
          <t>Screen / element</t>
        </is>
      </c>
      <c r="B1" s="1" t="inlineStr">
        <is>
          <t>Wireframe (phone) or what it shows</t>
        </is>
      </c>
      <c r="C1" s="1" t="inlineStr">
        <is>
          <t>Data lineage (engine)</t>
        </is>
      </c>
      <c r="D1" s="1" t="inlineStr">
        <is>
          <t>Fields</t>
        </is>
      </c>
      <c r="E1" s="1" t="inlineStr">
        <is>
          <t>Sameness pin</t>
        </is>
      </c>
      <c r="F1" s="1" t="inlineStr">
        <is>
          <t>✅ Approve?</t>
        </is>
      </c>
      <c r="G1" s="1" t="inlineStr">
        <is>
          <t>💬 Your comments</t>
        </is>
      </c>
    </row>
    <row r="2" ht="46" customHeight="1">
      <c r="A2" s="5" t="inlineStr">
        <is>
          <t>▶ Invest — main (glance then drill)  ·  lens: working</t>
        </is>
      </c>
      <c r="B2" s="6" t="inlineStr">
        <is>
          <t>Grow &amp; Track hero for 55-70: one glance answers 'how am I doing?', everything below is a tap-deeper drill. Covers ALL investment classes — stocks/funds, bonds, alternatives — in one place. — The one screen that tells the truth about how the whole portfolio is doing: total return in dollars and percent for a period the user picks, an honest same-period comparison to the stock market, who is winning and lagging, and every investment — including manually-valued bonds and alternatives — with its value and how fresh that value is. Celebrates real wins with facts; never suggests a trade.</t>
        </is>
      </c>
      <c r="C2" s="7" t="n"/>
      <c r="D2" s="7" t="n"/>
      <c r="E2" s="7" t="n"/>
      <c r="F2" s="7" t="n"/>
      <c r="G2" s="7" t="n"/>
    </row>
    <row r="3" ht="400" customHeight="1">
      <c r="A3" s="8" t="inlineStr">
        <is>
          <t>WIREFRAME</t>
        </is>
      </c>
      <c r="B3" s="9" t="inlineStr">
        <is>
          <t>+------------------------------+
| Invest              [eye]    |
| [1M 3M 6M YTD 1Y 3Y]   (1Y)  |
|                              |
| TOTAL RETURN (1 year)        |
|   Up  +$96,400  (+12.9%)     |
|   Stock market:     +10.1%   |
|   You're ahead by 2.8 points |
|   [ you --- vs market --- ]  |
|   Prices updated 2h ago      |
|                              |
| WINNERS &amp; LAGGARDS (1 yr)    |
|  ^ up   NVDA  +$76,200 +41%  |
|  ^ up   VTI   +$18,900 +12%  |
|  v down BND     -$600   -3%  |
|  See all 12 &gt;  By account &gt;  |
|                              |
| ! 31% of your invested money |
|   is in one stock (NVDA)     |
|                              |
| LOOK AHEAD: what saving     |
| more could do (estimate)  &gt; |
|                              |
| LOOK BACK: what a past move |
| would have done (facts)   &gt; |
|                              |
| YOUR INVESTMENTS   $843,700  |
| Stocks / ETFs      $700,500  |
|  NVDA $261,900  up +41%    &gt; |
|  VTI  $176,400  up +12%    &gt; |
| Bonds              $113,000  |
|  Treasury 4.5% '36  $95,000  |
|   value as of Mar 3, 2026  &gt; |
|  BND fund  $18,000  down-3%&gt; |
| Alternatives        $30,200  |
|  Bitcoin $21,200             |
|   value as of Jun 12       &gt; |
|  Gold coins $9,000           |
|   ! value 7 months old     &gt; |
|                              |
| [+ Add investment] [Record]  |
+------------------------------+
| Home NetWorth INVEST Cash Plan|</t>
        </is>
      </c>
      <c r="C3" s="3" t="inlineStr">
        <is>
          <t>BUILD NOTE:
Mostly EXISTING: this screen is PerformanceScreen.tsx re-shelled to the glance-then-drill order, plus the Bonds and Alternatives groups folded in from BondsScreen.tsx / OtherInvestmentsScreen.tsx (today they are separate screens). NET-NEW: value_as_of field + freshness nudge, holding-level concentration helper, look-back entry. Route: the Invest tab replaces the current Performance entry; keep old routes redirecting.</t>
        </is>
      </c>
      <c r="D3" s="3" t="inlineStr">
        <is>
          <t>INTERACTIONS:
Tap a period chip -&gt; whole screen recomputes. Tap any holding row -&gt; its detail (screens 2/3/4 by type). Tap 'See all' -&gt; full ranked list; 'By account' -&gt; same rows grouped by account, each account row showing its reported yearly return with an Edit pencil. Tap the concentration callout -&gt; scrolls to that holding. Tap Look back -&gt; screen 5. Eye icon in the top bar toggles hide-balances globally. Pull to refresh re-fetches prices (fetchPriceSeries, src/services/marketData.ts). Arriving from Home's 'this month' figure opens with the 1M period selected (handoff rule: the number you tapped is the number you land on).</t>
        </is>
      </c>
      <c r="E3" s="3" t="inlineStr">
        <is>
          <t>ACCESSIBILITY:
Gains/losses always carry the word 'up'/'down' plus an arrow icon — never red/green alone (colorblind-safe). Every row is one tap target 44pt+ with a spoken label like 'NVIDIA, $261,900, up 41 percent this year'. Period selector is a radio group announced as 'showing 1 year'. The trend chart has a text summary ('you +12.9%, market +10.1%') so screen readers don't need the picture.</t>
        </is>
      </c>
      <c r="G3" s="3" t="n"/>
    </row>
    <row r="4" ht="46" customHeight="1">
      <c r="A4" s="3" t="inlineStr">
        <is>
          <t xml:space="preserve">   Period selector (1M / 3M / 6M / year-to-date / 1Y / 3Y)</t>
        </is>
      </c>
      <c r="B4" s="3" t="inlineStr">
        <is>
          <t>Which time window every return number on the screen uses. One selector drives the whole screen so numbers can never disagree.</t>
        </is>
      </c>
      <c r="C4" s="3" t="inlineStr">
        <is>
          <t>EXISTING: PERIODS + Period type — src/domain/performance/index.ts:30; already used by PerformanceScreen.tsx</t>
        </is>
      </c>
      <c r="D4" s="3" t="inlineStr">
        <is>
          <t>period</t>
        </is>
      </c>
      <c r="E4" s="3" t="inlineStr">
        <is>
          <t>The selected period is passed to every helper below (buildPerformance, portfolioTrend, attribution) — one period, one set of numbers; pinned by the existing performance tests.</t>
        </is>
      </c>
    </row>
    <row r="5" ht="46" customHeight="1">
      <c r="A5" s="3" t="inlineStr">
        <is>
          <t xml:space="preserve">   Total return glance ($ and %)</t>
        </is>
      </c>
      <c r="B5" s="3" t="inlineStr">
        <is>
          <t>'Up +$96,400 (+12.9%)' — the value-weighted return of everything with a price over the chosen period, with the word 'Up' or 'Down' next to the sign (never color alone).</t>
        </is>
      </c>
      <c r="C5" s="3" t="inlineStr">
        <is>
          <t>EXISTING: buildPerformance (src/domain/performance/index.ts:150) rows -&gt; portfolioPeriodReturn (:224) for the %, sum of row.gain deltas for the $; per-row gain = unrealizedGain (:47)</t>
        </is>
      </c>
      <c r="D5" s="3" t="inlineStr">
        <is>
          <t>positions[].lots (shares, cost_per_share, purchase_date), priceCache series</t>
        </is>
      </c>
      <c r="E5" s="3" t="inlineStr">
        <is>
          <t>Same rows feed the winners &amp; laggards list below — the per-holding contributions (attribution :174) sum to this same portfolio return; pinned in performance.test.ts.</t>
        </is>
      </c>
    </row>
    <row r="6" ht="46" customHeight="1">
      <c r="A6" s="3" t="inlineStr">
        <is>
          <t xml:space="preserve">   'You're ahead by X points' market comparison</t>
        </is>
      </c>
      <c r="B6" s="3" t="inlineStr">
        <is>
          <t>The stock market's return over the SAME period ('+10.1%') and the factual gap ('ahead by 2.8 points'). No 'benchmark' jargon; 'ahead of the market' is a fact, not advice.</t>
        </is>
      </c>
      <c r="C6" s="3" t="inlineStr">
        <is>
          <t>EXISTING: periodReturn on the market proxy series (src/domain/performance/index.ts:105) with benchmarkTicker (:132, default SPY = the big-company US stock index fund)</t>
        </is>
      </c>
      <c r="D6" s="3" t="inlineStr">
        <is>
          <t>benchReturn, beatBy (buildPerformance row :146-:167)</t>
        </is>
      </c>
      <c r="E6" s="3" t="inlineStr">
        <is>
          <t>Same market figure the per-holding drill shows ('vs market' on each detail page) — one benchmarkTicker mapping, no second market number.</t>
        </is>
      </c>
    </row>
    <row r="7" ht="46" customHeight="1">
      <c r="A7" s="3" t="inlineStr">
        <is>
          <t xml:space="preserve">   You-vs-market trend line</t>
        </is>
      </c>
      <c r="B7" s="3" t="inlineStr">
        <is>
          <t>Two small lines: your portfolio value and what the same starting money would have done in the market fund, rebased to the same start.</t>
        </is>
      </c>
      <c r="C7" s="3" t="inlineStr">
        <is>
          <t>EXISTING: portfolioTrend (src/domain/performance/index.ts:198)</t>
        </is>
      </c>
      <c r="D7" s="3" t="inlineStr">
        <is>
          <t>TrendPoint { date, value, bench }</t>
        </is>
      </c>
      <c r="E7" s="3" t="inlineStr">
        <is>
          <t>Uses the same price cache and period as the glance; the line's last point matches the glance value (agreement test to add).</t>
        </is>
      </c>
    </row>
    <row r="8" ht="46" customHeight="1">
      <c r="A8" s="3" t="inlineStr">
        <is>
          <t xml:space="preserve">   Price freshness line</t>
        </is>
      </c>
      <c r="B8" s="3" t="inlineStr">
        <is>
          <t>'Prices updated 2h ago' — or 'Prices may be out of date (5 days old)' with a warning word when stale.</t>
        </is>
      </c>
      <c r="C8" s="3" t="inlineStr">
        <is>
          <t>EXISTING: priceFreshness (src/services/marketData.ts:60), already wired at PerformanceScreen.tsx:79; prices come through the swappable PriceProvider seam (marketData.ts:7) so a later data-source change needs no redesign</t>
        </is>
      </c>
      <c r="D8" s="3" t="inlineStr">
        <is>
          <t>store.pricesFetchedAt</t>
        </is>
      </c>
      <c r="E8" s="3" t="inlineStr">
        <is>
          <t>Same label string on every screen that shows a live price (main, equity detail, look-back) — one helper, one wording.</t>
        </is>
      </c>
    </row>
    <row r="9" ht="46" customHeight="1">
      <c r="A9" s="3" t="inlineStr">
        <is>
          <t xml:space="preserve">   Winners &amp; laggards list</t>
        </is>
      </c>
      <c r="B9" s="3" t="inlineStr">
        <is>
          <t>Top 3 contributors and bottom 1-2, each with an up/down WORD + arrow icon, dollar gain and percent. 'See all' expands; 'By account' regroups the same rows by account.</t>
        </is>
      </c>
      <c r="C9" s="3" t="inlineStr">
        <is>
          <t>EXISTING: attribution (src/domain/performance/index.ts:174) sorted best-to-worst; per-row gain/percent from buildPerformance</t>
        </is>
      </c>
      <c r="D9" s="3" t="inlineStr">
        <is>
          <t>contribution, weight, position.ticker/label</t>
        </is>
      </c>
      <c r="E9" s="3" t="inlineStr">
        <is>
          <t>Contributions are weight x return of the SAME rows as the glance, so they visibly add up to the total — no separately-computed list.</t>
        </is>
      </c>
    </row>
    <row r="10" ht="46" customHeight="1">
      <c r="A10" s="3" t="inlineStr">
        <is>
          <t xml:space="preserve">   Concentration callout</t>
        </is>
      </c>
      <c r="B10" s="3" t="inlineStr">
        <is>
          <t>'31% of your invested money is in one stock (NVDA)' — a quantified fact, shown when one holding is 25%+ of invested money (or one account is 40%+). No 'you should diversify' advice.</t>
        </is>
      </c>
      <c r="C10" s="3" t="inlineStr">
        <is>
          <t>NET-NEW: topHoldingConcentration(rows) in src/domain/performance — reuses the weight already computed by attribution (:174). Account-level version EXISTS: the 'concentration' insight at src/domain/insights/index.ts:45 (fires at topAccountPct &gt; 40) — reuse its threshold style and wording discipline</t>
        </is>
      </c>
      <c r="D10" s="3" t="inlineStr">
        <is>
          <t>weight per row; threshold constants</t>
        </is>
      </c>
      <c r="E10" s="3" t="inlineStr">
        <is>
          <t>Holding weights are marketValue / total from the same buildPerformance rows — the callout's % equals the holding's share shown in the list.</t>
        </is>
      </c>
    </row>
    <row r="11" ht="46" customHeight="1">
      <c r="A11" s="3" t="inlineStr">
        <is>
          <t xml:space="preserve">   Look back entry card</t>
        </is>
      </c>
      <c r="B11" s="3" t="inlineStr">
        <is>
          <t>'What if I'd moved money a year ago?' — opens the backward-looking comparison (screen 5). Labeled as facts about the past.</t>
        </is>
      </c>
      <c r="C11" s="3" t="inlineStr">
        <is>
          <t>NET-NEW: entry point to the lookBack engine (see engine spec); prices via existing priceOf lookups on the cached series</t>
        </is>
      </c>
      <c r="D11" s="3" t="inlineStr">
        <is>
          <t>none (navigation)</t>
        </is>
      </c>
      <c r="E11" s="3" t="inlineStr">
        <is>
          <t>n/a (navigation)</t>
        </is>
      </c>
    </row>
    <row r="12" ht="46" customHeight="1">
      <c r="A12" s="3" t="inlineStr">
        <is>
          <t xml:space="preserve">   All-investments list, grouped Stocks / ETFs · Bonds · Alternatives</t>
        </is>
      </c>
      <c r="B12" s="3" t="inlineStr">
        <is>
          <t>Every investment with its current value. Priced holdings show live value + up/down word; manually-valued bonds and alternatives show 'value as of &lt;date&gt;' and a warning row when the value is 6+ months old. SCALE (c25): each class group is collapsible, opening with the top 5 by value and 'show all N' — a 30-holding portfolio stays glanceable.</t>
        </is>
      </c>
      <c r="C12" s="3" t="inlineStr">
        <is>
          <t>EXISTING grouping tests: assetClassOf + ASSET_CLASS_LABEL (src/domain/assets/index.ts:22) for the three groups; isBond (src/domain/bonds/index.ts:13); isAlternative (src/domain/alternatives/index.ts:11); values = account balance (bonds/alts) or marketValue (src/domain/performance/index.ts:43). NET-NEW: value_as_of date field on AssetAccount + valueFreshness helper (see engine spec 3)</t>
        </is>
      </c>
      <c r="D12" s="3" t="inlineStr">
        <is>
          <t>balance, value_as_of (new), positions, asset_class</t>
        </is>
      </c>
      <c r="E12" s="3" t="inlineStr">
        <is>
          <t>The group subtotals and $843,700 total are the same balances Net Worth shows — recomputeBalances (src/store/useStore.ts:13) is the single writer of balance; pinned by the assets agreement test (src/domain/assets/agreement.test.ts).</t>
        </is>
      </c>
      <c r="G12" s="3" t="n"/>
    </row>
    <row r="13" ht="46" customHeight="1">
      <c r="A13" s="3" t="inlineStr">
        <is>
          <t xml:space="preserve">   Add investment / Record buttons</t>
        </is>
      </c>
      <c r="B13" s="3" t="inlineStr">
        <is>
          <t>'+ Add investment' opens the holding editor (stock/fund, bond, or alternative); 'Record' opens the transaction sheet (screen 6).</t>
        </is>
      </c>
      <c r="C13" s="3" t="inlineStr">
        <is>
          <t>EXISTING: HoldingEditor (src/screens/PerformanceScreen.tsx:248) for tickers; bond and alternative add flows exist on BondsScreen.tsx / OtherInvestmentsScreen.tsx — fold into one chooser</t>
        </is>
      </c>
      <c r="D13" s="3" t="inlineStr">
        <is>
          <t>n/a</t>
        </is>
      </c>
      <c r="E13" s="3" t="inlineStr">
        <is>
          <t>One editor per instrument type reused everywhere it can be opened.</t>
        </is>
      </c>
    </row>
    <row r="14" ht="46" customHeight="1">
      <c r="A14" s="3" t="inlineStr">
        <is>
          <t xml:space="preserve">   What-if entry card (forward)</t>
        </is>
      </c>
      <c r="B14" s="3" t="inlineStr">
        <is>
          <t>'What if I add more each month?' — opens the forward what-if (sliders + range).</t>
        </is>
      </c>
      <c r="C14" s="3" t="inlineStr">
        <is>
          <t>Navigation to the forward what-if screen; engines projectNestEgg + simulate band (src/domain/retirement/index.ts:198/:115).</t>
        </is>
      </c>
      <c r="D14" s="3" t="inlineStr">
        <is>
          <t>none (navigation)</t>
        </is>
      </c>
      <c r="E14" s="3" t="inlineStr">
        <is>
          <t>n/a (navigation)</t>
        </is>
      </c>
      <c r="G14" s="3" t="n"/>
    </row>
    <row r="15" ht="46" customHeight="1">
      <c r="A15" s="3" t="inlineStr">
        <is>
          <t xml:space="preserve">   Planned monthly contribution chip (from your Plan)</t>
        </is>
      </c>
      <c r="B15" s="3" t="inlineStr">
        <is>
          <t>'Saving $1,500/mo toward retirement (from your Plan)' — shown when a plan exists, so an adopted scenario is visible HERE too (the F11 propagation promise).</t>
        </is>
      </c>
      <c r="C15" s="3" t="inlineStr">
        <is>
          <t>EXISTING field: retirementAssumptions.contribMonthly (src/store/useStore.ts:427) read via the shared assumptions source — NET-NEW: this surface reading it (today Invest ignores the plan).</t>
        </is>
      </c>
      <c r="D15" s="3" t="inlineStr">
        <is>
          <t>contribMonthly</t>
        </is>
      </c>
      <c r="E15" s="3" t="inlineStr">
        <is>
          <t>PIN: equals the Plan hub's committed saving and the Cash flow planned line — one shared source (F11).</t>
        </is>
      </c>
      <c r="G15" s="3" t="n"/>
    </row>
    <row r="16" ht="64" customHeight="1">
      <c r="A16" s="3" t="inlineStr">
        <is>
          <t xml:space="preserve">   Where the return came from (c21/c24/c28) — NET-NEW</t>
        </is>
      </c>
      <c r="B16" s="3" t="inlineStr">
        <is>
          <t>Four lines under the total: Price change (on paper) +$71,900 · Realized on sales +$4,900 · Dividends +$2,310 · Interest +$1,140 — they sum to the period total. HONEST NOTE: today's code computes on-paper gains only (verified: buildPerformance derives from open lots + prices); the realized/dividend/interest roll-ups are net-new build from the transaction ledger.</t>
        </is>
      </c>
      <c r="C16" s="3" t="inlineStr">
        <is>
          <t>NET-NEW period roll-up over ledger SELL (realized) / DIVIDEND / INTEREST / COUPON rows + existing unrealized math.</t>
        </is>
      </c>
      <c r="D16" s="3" t="inlineStr">
        <is>
          <t>transactions[] by type + period; unrealizedGain</t>
        </is>
      </c>
      <c r="E16" s="3" t="inlineStr">
        <is>
          <t>PIN: the four lines sum to the headline return for the same period.</t>
        </is>
      </c>
    </row>
    <row r="17" ht="64" customHeight="1">
      <c r="A17" s="3" t="inlineStr">
        <is>
          <t xml:space="preserve">   Retirement earmark (i) (c27)</t>
        </is>
      </c>
      <c r="B17" s="3" t="inlineStr">
        <is>
          <t>Info dot wherever the nest egg is referenced: 'Retirement savings ≠ net worth. Each account carries a retirement earmark (401(k)/IRA default 100%, taxable lower, home &amp; car 0%) — the nest egg is the earmarked share of financial accounts only. Edit any account's earmark on its page.'</t>
        </is>
      </c>
      <c r="C17" s="3" t="inlineStr">
        <is>
          <t>retirement_pct + earmarkedAmount (src/domain/assets, src/domain/decumulation).</t>
        </is>
      </c>
      <c r="D17" s="3" t="inlineStr">
        <is>
          <t>retirement_pct</t>
        </is>
      </c>
      <c r="E17" s="3" t="inlineStr">
        <is>
          <t>The earmarked total = the nest egg the safe draw and will-my-money-last use.</t>
        </is>
      </c>
    </row>
    <row r="18" ht="46" customHeight="1">
      <c r="A18" s="2" t="inlineStr">
        <is>
          <t xml:space="preserve">   STATES</t>
        </is>
      </c>
      <c r="B18" s="3" t="inlineStr">
        <is>
          <t>• No investments at all: Shows the empty state (screen 7): plain invitation + Add investment + Import from a file. No zeros, no empty charts.
• Prices stale (4+ days): Freshness line switches to 'Prices may be out of date (5 days old)' with a warning icon + word; return numbers still show (they are computed from the last known prices).
• A holding has no price at all: Its value falls back to what was paid for it (cost basis), never $0 — existing B-19 behavior in recomputeBalances (src/store/useStore.ts:13). Row shows 'showing what you paid — no current price'.
• Manual value 6+ months old: Row gets '! value 7 months old' and the detail page shows the update nudge. Factual, dismissible ('Yes, still right').
• Hide balances on: Every dollar amount shows as •••• via the useMoney hook (src/components/useMoney.ts, BALANCE_MASK); percentages and up/down words stay visible — they don't reveal amounts.
• Loading prices: Glance shows a shimmer placeholder + 'updating prices…'; last cached numbers appear as soon as available. Never a blank screen if a cache exists.
• Too little history for the period: Any holding whose price series doesn't cover the window is excluded from the % (existing null handling in periodReturn) and listed under 'not enough history for this period' so nothing silently disappears.</t>
        </is>
      </c>
      <c r="C18" s="4" t="n"/>
      <c r="D18" s="4" t="n"/>
      <c r="E18" s="4" t="n"/>
    </row>
    <row r="19" ht="362.5" customHeight="1"/>
    <row r="20" ht="46" customHeight="1">
      <c r="A20" s="5" t="inlineStr">
        <is>
          <t>▶ Holding detail — stock / fund (equity)  ·  lens: both</t>
        </is>
      </c>
      <c r="B20" s="6" t="inlineStr">
        <is>
          <t>Drill: one ticker's full story — what you own, what you paid, what it's worth, how it compares, and the tax facts if you sold. — Everything about one stock or fund in plain terms: current worth, gain since purchase, an honest same-period market comparison, the purchase history that explains the cost basis, and the tax picture if sold — clearly labeled an estimate.</t>
        </is>
      </c>
      <c r="C20" s="7" t="n"/>
      <c r="D20" s="7" t="n"/>
      <c r="E20" s="7" t="n"/>
      <c r="F20" s="7" t="n"/>
      <c r="G20" s="7" t="n"/>
    </row>
    <row r="21" ht="46" customHeight="1">
      <c r="A21" s="8" t="inlineStr">
        <is>
          <t>WIREFRAME</t>
        </is>
      </c>
      <c r="B21" s="9" t="inlineStr">
        <is>
          <t>+------------------------------+
| &lt; NVIDIA (NVDA)              |
|   in Fidelity brokerage      |
|                              |
| $261,900   Up +$76,200 (+41%)|
| 360 shares · avg cost $516   |
| Price $727.50 · updated 2h   |
|                              |
| VS THE STOCK MARKET (1 yr)   |
|  NVDA up +41% · market +10.1%|
|  Ahead by 30.9 points        |
|                              |
| WHAT YOU BOUGHT (lots)       |
|  200 sh @ $410  Jan 12, 2024 |
|  160 sh @ $648  Aug 3, 2025  |
|                              |
| IF YOU SOLD TODAY  (i)       |
|  Estimate, not tax advice    |
|  Held over a year: +$63,500  |
|   taxed at the lower rate    |
|  Held under a year: +$12,700 |
|  Estimated tax: ~$12,600     |
|                              |
| LOOK BACK: what if I'd sold  |
| a year ago?                &gt; |
|                              |
| [Record buy/sell] [History]  |
| [Edit holding]               |
+------------------------------+</t>
        </is>
      </c>
      <c r="C21" s="3" t="inlineStr">
        <is>
          <t>BUILD NOTE:
Mostly EXISTING data + components; the page itself is NET-NEW as a routed detail screen (today PerformanceScreen shows expandable rows, not a full-screen drill). Low risk: it is a re-layout of tested helpers.</t>
        </is>
      </c>
      <c r="D21" s="3" t="inlineStr">
        <is>
          <t>INTERACTIONS:
Tap a lot -&gt; edit it in HoldingEditor. Tap Record buy/sell -&gt; TransactionSheet with account+ticker pre-filled. Tap the info dot on the tax card -&gt; plain-English glossary entry (InfoDot, src/components/UI.tsx). Period chip on this page mirrors the main screen's selection.</t>
        </is>
      </c>
      <c r="E21" s="3" t="inlineStr">
        <is>
          <t>ACCESSIBILITY:
Header spoken as one sentence: 'NVIDIA, worth $261,900, up $76,200, 41 percent since purchase'. 'Ahead by 30.9 points' uses the word 'ahead', not color. Estimate labels are real text, not just styling, so screen readers hear them.</t>
        </is>
      </c>
      <c r="G21" s="3" t="n"/>
    </row>
    <row r="22" ht="46" customHeight="1">
      <c r="A22" s="3" t="inlineStr">
        <is>
          <t xml:space="preserve">   Value + gain header</t>
        </is>
      </c>
      <c r="B22" s="3" t="inlineStr">
        <is>
          <t>Current market value, total gain since purchase in $ and % with the up/down word, share count and average cost.</t>
        </is>
      </c>
      <c r="C22" s="3" t="inlineStr">
        <is>
          <t>EXISTING: marketValue (src/domain/performance/index.ts:43), unrealizedGain (:47), totalROI (:72), totalShares (:33), avgCost (:39), costBasis (:36)</t>
        </is>
      </c>
      <c r="D22" s="3" t="inlineStr">
        <is>
          <t>position.lots, latest close from priceCache</t>
        </is>
      </c>
      <c r="E22" s="3" t="inlineStr">
        <is>
          <t>Value equals this holding's row on the Invest main list and its share of the account balance in Net Worth (recomputeBalances is the single writer).</t>
        </is>
      </c>
    </row>
    <row r="23" ht="46" customHeight="1">
      <c r="A23" s="3" t="inlineStr">
        <is>
          <t xml:space="preserve">   Price + freshness line</t>
        </is>
      </c>
      <c r="B23" s="3" t="inlineStr">
        <is>
          <t>'Price $727.50 · updated 2h ago'; switches to a warning wording when stale, and to 'no current price — showing what you paid' when missing.</t>
        </is>
      </c>
      <c r="C23" s="3" t="inlineStr">
        <is>
          <t>EXISTING: latestClose (src/domain/performance/index.ts:100) + priceFreshness (src/services/marketData.ts:60); B-19 fallback in recomputeBalances (src/store/useStore.ts:13)</t>
        </is>
      </c>
      <c r="D23" s="3" t="inlineStr">
        <is>
          <t>priceCache[ticker], pricesFetchedAt</t>
        </is>
      </c>
      <c r="E23" s="3" t="inlineStr">
        <is>
          <t>Same freshness helper and wording as the main screen.</t>
        </is>
      </c>
    </row>
    <row r="24" ht="46" customHeight="1">
      <c r="A24" s="3" t="inlineStr">
        <is>
          <t xml:space="preserve">   Vs the stock market card</t>
        </is>
      </c>
      <c r="B24" s="3" t="inlineStr">
        <is>
          <t>This holding's period return next to the market's SAME-period return and the factual gap in points.</t>
        </is>
      </c>
      <c r="C24" s="3" t="inlineStr">
        <is>
          <t>EXISTING: buildPerformance row fields periodReturn / benchReturn / beatBy (src/domain/performance/index.ts:136-:168); market proxy via benchmarkTicker (:132)</t>
        </is>
      </c>
      <c r="D24" s="3" t="inlineStr">
        <is>
          <t>periodReturn, benchReturn, beatBy</t>
        </is>
      </c>
      <c r="E24" s="3" t="inlineStr">
        <is>
          <t>Same row object as the main-screen list — no recomputation on the detail page.</t>
        </is>
      </c>
    </row>
    <row r="25" ht="46" customHeight="1">
      <c r="A25" s="3" t="inlineStr">
        <is>
          <t xml:space="preserve">   Lots list (what you bought)</t>
        </is>
      </c>
      <c r="B25" s="3" t="inlineStr">
        <is>
          <t>Each purchase: shares, price paid, date. Explains where the average cost comes from.</t>
        </is>
      </c>
      <c r="C25" s="3" t="inlineStr">
        <is>
          <t>EXISTING: Lot model (src/domain/performance/index.ts:10); edited via HoldingEditor (src/screens/PerformanceScreen.tsx:248)</t>
        </is>
      </c>
      <c r="D25" s="3" t="inlineStr">
        <is>
          <t>lot.shares, lot.cost_per_share, lot.purchase_date</t>
        </is>
      </c>
      <c r="E25" s="3" t="inlineStr">
        <is>
          <t>The lots ARE the cost basis — costBasis sums exactly these rows.</t>
        </is>
      </c>
    </row>
    <row r="26" ht="46" customHeight="1">
      <c r="A26" s="3" t="inlineStr">
        <is>
          <t xml:space="preserve">   If-you-sold-today card (estimate)</t>
        </is>
      </c>
      <c r="B26" s="3" t="inlineStr">
        <is>
          <t>Gains split into held-over-a-year (taxed at the lower long-term rate) vs held-under-a-year, plus an estimated tax — labeled 'Estimate, not tax advice'.</t>
        </is>
      </c>
      <c r="C26" s="3" t="inlineStr">
        <is>
          <t>EXISTING: capGains (src/domain/performance/index.ts:53) + capGainsTax (:67); wording pattern already at PerformanceScreen.tsx:202</t>
        </is>
      </c>
      <c r="D26" s="3" t="inlineStr">
        <is>
          <t>longGain, shortGain, ltRate 15%, ordinaryRate 24%</t>
        </is>
      </c>
      <c r="E26" s="3" t="inlineStr">
        <is>
          <t>Computed per lot from the same lots list shown above — the two gains sum to the header gain.</t>
        </is>
      </c>
    </row>
    <row r="27" ht="56" customHeight="1">
      <c r="A27" s="3" t="inlineStr">
        <is>
          <t xml:space="preserve">   Look back entry</t>
        </is>
      </c>
      <c r="B27" s="3" t="inlineStr">
        <is>
          <t>'What if I'd sold a year ago?' — opens screen 5 pre-filled with this holding as the 'from'.</t>
        </is>
      </c>
      <c r="C27" s="3" t="inlineStr">
        <is>
          <t>NET-NEW: lookBack engine (engine spec 2)</t>
        </is>
      </c>
      <c r="D27" s="3" t="inlineStr">
        <is>
          <t>prefill: fromTicker=NVDA, amount=current value</t>
        </is>
      </c>
      <c r="E27" s="3" t="inlineStr">
        <is>
          <t>Uses the same cached price series as everything else.</t>
        </is>
      </c>
    </row>
    <row r="28" ht="48" customHeight="1">
      <c r="A28" s="3" t="inlineStr">
        <is>
          <t xml:space="preserve">   Record buy/sell · History · Edit holding</t>
        </is>
      </c>
      <c r="B28" s="3" t="inlineStr">
        <is>
          <t>Buttons to record a trade for this ticker (transaction sheet pre-filled), see its past transactions, or edit/delete the holding.</t>
        </is>
      </c>
      <c r="C28" s="3" t="inlineStr">
        <is>
          <t>EXISTING: TransactionSheet (src/screens/PerformanceScreen.tsx:421), HistorySheet (:567), HoldingEditor (:248)</t>
        </is>
      </c>
      <c r="D28" s="3" t="inlineStr">
        <is>
          <t>n/a</t>
        </is>
      </c>
      <c r="E28" s="3" t="inlineStr">
        <is>
          <t>Same sheets as screen 6 — one recording flow app-wide.</t>
        </is>
      </c>
    </row>
    <row r="29" ht="64" customHeight="1">
      <c r="A29" s="3" t="inlineStr">
        <is>
          <t xml:space="preserve">   Dividends received (c28)</t>
        </is>
      </c>
      <c r="B29" s="3" t="inlineStr">
        <is>
          <t>'Dividends received: $310 this year · $1,240 all time' — from this ticker's DIVIDEND rows in the ledger; feeds the return-composition card.</t>
        </is>
      </c>
      <c r="C29" s="3" t="inlineStr">
        <is>
          <t>Ledger DIVIDEND rows filtered by ticker (types exist; roll-up NET-NEW).</t>
        </is>
      </c>
      <c r="D29" s="3" t="inlineStr">
        <is>
          <t>transactions[type=DIVIDEND, ticker]</t>
        </is>
      </c>
      <c r="E29" s="3" t="inlineStr">
        <is>
          <t>Same rows the account activity shows — one ledger.</t>
        </is>
      </c>
    </row>
    <row r="30" ht="400" customHeight="1">
      <c r="A30" s="2" t="inlineStr">
        <is>
          <t xml:space="preserve">   STATES</t>
        </is>
      </c>
      <c r="B30" s="3" t="inlineStr">
        <is>
          <t>• No price for this ticker: Header shows cost basis with 'no current price — showing what you paid'; the vs-market card and look-back hide (no honest comparison possible); ticker-typo hint via isPlausibleTicker (src/services/marketData.ts:53) if the symbol looks wrong.
• Not enough history for the selected period: Vs-market card says 'not enough price history for 3 years — try a shorter period' instead of showing a misleading number.
• Hide balances on: Dollar figures masked to ••••; shares, prices per share, percentages and dates remain (consistent with the main screen rule).
• All lots sold: Holding shows 'position closed' with its history retained; header value $0 is correct here and labeled 'sold'.</t>
        </is>
      </c>
      <c r="C30" s="4" t="n"/>
      <c r="D30" s="4" t="n"/>
      <c r="E30" s="4" t="n"/>
    </row>
    <row r="31" ht="46" customHeight="1"/>
    <row r="32" ht="46" customHeight="1">
      <c r="A32" s="5" t="inlineStr">
        <is>
          <t>▶ Holding detail — bond  ·  lens: both</t>
        </is>
      </c>
      <c r="B32" s="6" t="inlineStr">
        <is>
          <t>Worry-less lens: a bond owner mostly needs to know what it pays, when it matures, what it's worth today, and — new — roughly how its value moves if interest rates move. — One bond, fully explained: what it pays every year, when the face value comes back, what it's worth right now (and how old that number is), and a clearly-labeled estimate of how a 1% move in interest rates would change its market value — with the reassurance that holding to maturity still returns the face value.</t>
        </is>
      </c>
      <c r="C32" s="7" t="n"/>
      <c r="D32" s="7" t="n"/>
      <c r="E32" s="7" t="n"/>
      <c r="F32" s="7" t="n"/>
      <c r="G32" s="7" t="n"/>
    </row>
    <row r="33" ht="46" customHeight="1">
      <c r="A33" s="8" t="inlineStr">
        <is>
          <t>WIREFRAME</t>
        </is>
      </c>
      <c r="B33" s="9" t="inlineStr">
        <is>
          <t>+------------------------------+
| &lt; US Treasury 4.5% of 2036   |
|   Bonds · Vanguard account   |
|                              |
| CURRENT VALUE   $95,000      |
|  value as of Mar 3, 2026     |
|  [Update value]              |
|                              |
| Face value       $100,000    |
| Coupon (yearly)  4.5% $4,500 |
| Matures  Jun 30, 2036        |
|  (10 years away)             |
| Yield if held to maturity    |
|  about 5.1%  (i) Estimate    |
| Yield on today's value 4.7%  |
|                              |
| IF INTEREST RATES MOVE  (i)  |
|  Estimate, not a prediction  |
|  Rates rise 1% -&gt; value      |
|   roughly $87,000 - $89,000  |
|   (down about $7,000)        |
|  Rates fall 1% -&gt; value      |
|   roughly $102,000 - $104,000|
|  Held to maturity, $100,000   |
|  comes back — if the issuer  |
|  pays as promised.          |
|                              |
| YOUR REPORTED RETURN (12 mo) |
|  2.1%  [Edit]                |
|                              |
| [Record a sale] [History]    |
| [Edit bond details]          |
+------------------------------+</t>
        </is>
      </c>
      <c r="C33" s="3" t="inlineStr">
        <is>
          <t>BUILD NOTE:
Bond math and sale flow EXIST (BondsScreen.tsx + src/domain/bonds). NET-NEW: value_as_of + freshness nudge, bondRateSensitivity helper + card, shared ReportedReturnEditor. This page replaces BondsScreen's expandable row as a routed detail; keep bondSummary for the group header on the main screen.</t>
        </is>
      </c>
      <c r="D33" s="3" t="inlineStr">
        <is>
          <t>INTERACTIONS:
Update value opens a one-field editor (amount + 'as of' date defaulting to today) and writes balance + value_as_of together. Tapping (i) on either estimate opens a plain-English explainer of where the number comes from. Record a sale asks 'part or all?', amount received, and which account the cash lands in — mirroring the existing BondsScreen confirm flow.</t>
        </is>
      </c>
      <c r="E33" s="3" t="inlineStr">
        <is>
          <t>ACCESSIBILITY:
The sensitivity card is one spoken block: 'Estimate. If interest rates rise one percent, this bond's market value falls to roughly 87 to 89 thousand dollars.' Down/up always in words. Update value button is 44pt+ and placed directly under the number it edits.</t>
        </is>
      </c>
    </row>
    <row r="34" ht="46" customHeight="1">
      <c r="A34" s="3" t="inlineStr">
        <is>
          <t xml:space="preserve">   Current value + as-of stamp + edit-in-place</t>
        </is>
      </c>
      <c r="B34" s="3" t="inlineStr">
        <is>
          <t>'$95,000 · value as of Mar 3, 2026' with an Update value button that edits the number right here (no hunting through settings).</t>
        </is>
      </c>
      <c r="C34" s="3" t="inlineStr">
        <is>
          <t>EXISTING: value = account balance (src/domain/bonds/index.ts:1-3 — a bond's balance IS its current value, flowing to Net Worth). NET-NEW: value_as_of field on AssetAccount (src/domain/assets/index.ts:34) written whenever balance is manually updated; valueFreshness helper (engine spec 3)</t>
        </is>
      </c>
      <c r="D34" s="3" t="inlineStr">
        <is>
          <t>balance, value_as_of (new)</t>
        </is>
      </c>
      <c r="E34" s="3" t="inlineStr">
        <is>
          <t>This balance is the exact figure Net Worth and the retirement nest egg use — pinned by the existing balance machinery + agreement test.</t>
        </is>
      </c>
    </row>
    <row r="35" ht="46" customHeight="1">
      <c r="A35" s="3" t="inlineStr">
        <is>
          <t xml:space="preserve">   Bond facts block (face, coupon, maturity)</t>
        </is>
      </c>
      <c r="B35" s="3" t="inlineStr">
        <is>
          <t>Face value, yearly coupon in % and $, maturity date with 'X years away' in words.</t>
        </is>
      </c>
      <c r="C35" s="3" t="inlineStr">
        <is>
          <t>EXISTING: bondInfo (src/domain/bonds/index.ts:16), annualCoupon (:21), yearsToMaturity (:24)</t>
        </is>
      </c>
      <c r="D35" s="3" t="inlineStr">
        <is>
          <t>face_value, coupon_rate, maturity_date</t>
        </is>
      </c>
      <c r="E35" s="3" t="inlineStr">
        <is>
          <t>The $4,500 yearly coupon is the same number Cash flow's interest income uses — interestIncomeAnnual (src/domain/bonds/index.ts:62); one coupon figure everywhere.</t>
        </is>
      </c>
    </row>
    <row r="36" ht="46" customHeight="1">
      <c r="A36" s="3" t="inlineStr">
        <is>
          <t xml:space="preserve">   Yield lines</t>
        </is>
      </c>
      <c r="B36" s="3" t="inlineStr">
        <is>
          <t>'Yield if held to maturity: about 5.1%' (estimate-labeled, plain phrase — never the bare acronym) and 'Yield on today's value: 4.7%'.</t>
        </is>
      </c>
      <c r="C36" s="3" t="inlineStr">
        <is>
          <t>EXISTING: approxYTM (src/domain/bonds/index.ts:33), currentYield (:29)</t>
        </is>
      </c>
      <c r="D36" s="3" t="inlineStr">
        <is>
          <t>face, couponRate, maturity, value</t>
        </is>
      </c>
      <c r="E36" s="3" t="inlineStr">
        <is>
          <t>Same helpers the Bonds summary uses (bondSummary :42); no second yield formula.</t>
        </is>
      </c>
    </row>
    <row r="37" ht="70" customHeight="1">
      <c r="A37" s="3" t="inlineStr">
        <is>
          <t xml:space="preserve">   If-interest-rates-move card (rate-sensitivity ESTIMATE)</t>
        </is>
      </c>
      <c r="B37" s="3" t="inlineStr">
        <is>
          <t>'Rates rise 1% -&gt; value roughly $87,000-$89,000 (down about $7,000); rates fall 1% -&gt; roughly $102,000-$104,000. Held to maturity, $100,000 comes back — assuming the issuer pays as promised.' Always titled 'Estimate, not a prediction'.</t>
        </is>
      </c>
      <c r="C37" s="3" t="inlineStr">
        <is>
          <t>NET-NEW: bondRateSensitivity(bond, ±1%) in src/domain/bonds — reprices the bond's future payments at approxYTM ± 1% (see engine spec 1); inputs all come from existing bondInfo fields</t>
        </is>
      </c>
      <c r="D37" s="3" t="inlineStr">
        <is>
          <t>face_value, coupon_rate, maturity_date, balance</t>
        </is>
      </c>
      <c r="E37" s="3" t="inlineStr">
        <is>
          <t>Uses the SAME approxYTM shown above as its starting yield, so the card can never contradict the yield line.</t>
        </is>
      </c>
    </row>
    <row r="38" ht="128" customHeight="1">
      <c r="A38" s="3" t="inlineStr">
        <is>
          <t xml:space="preserve">   Your reported return (past 12 months) — editable here</t>
        </is>
      </c>
      <c r="B38" s="3" t="inlineStr">
        <is>
          <t>The return the user says this holding actually earned over the past 12 months ('2.1%'), with Edit right on the card. Today this editor only exists on the Retirement screen; it moves home to Invest.</t>
        </is>
      </c>
      <c r="C38" s="3" t="inlineStr">
        <is>
          <t>EXISTING field + writer: actual_ttm on AssetAccount (src/domain/assets/index.ts:46), edited via the TtmEditor component (src/screens/RetirementCockpit.tsx:940, saved through store.updateAsset at :688). NET-NEW: extract TtmEditor into a shared ReportedReturnEditor component so Invest and Retirement use one editor</t>
        </is>
      </c>
      <c r="D38" s="3" t="inlineStr">
        <is>
          <t>actual_ttm (decimal), clearable</t>
        </is>
      </c>
      <c r="E38" s="3" t="inlineStr">
        <is>
          <t>The Retirement cockpit's portfolio actual return reads this same field via portfolioActualReturn (src/domain/assets/index.ts:73) — edit here, the Retirement number updates; pinned by an agreement test.</t>
        </is>
      </c>
    </row>
    <row r="39" ht="46" customHeight="1">
      <c r="A39" s="3" t="inlineStr">
        <is>
          <t xml:space="preserve">   Record a sale · History · Edit bond details</t>
        </is>
      </c>
      <c r="B39" s="3" t="inlineStr">
        <is>
          <t>Record a partial or full sale (cash lands in the chosen account), see this bond's transaction history, or fix its facts.</t>
        </is>
      </c>
      <c r="C39" s="3" t="inlineStr">
        <is>
          <t>EXISTING: 'Record a sale' flow at src/screens/BondsScreen.tsx:135/:212; SELL/COUPON transaction types in src/domain/transactions/index.ts:10; HistorySheet pattern (PerformanceScreen.tsx:567)</t>
        </is>
      </c>
      <c r="D39" s="3" t="inlineStr">
        <is>
          <t>Transaction { type SELL/COUPON, amount, date }</t>
        </is>
      </c>
      <c r="E39" s="3" t="inlineStr">
        <is>
          <t>Sales append to the same transaction ledger as stock trades — one history, one audit trail.</t>
        </is>
      </c>
    </row>
    <row r="40" ht="350" customHeight="1">
      <c r="A40" s="2" t="inlineStr">
        <is>
          <t xml:space="preserve">   STATES</t>
        </is>
      </c>
      <c r="B40" s="3" t="inlineStr">
        <is>
          <t>• Value 6+ months old: A nudge card appears above the facts: '! This value is 7 months old. Still about right?' with [Yes, keep it] (stamps value_as_of to today without changing the number) and [Update value].
• No coupon or no maturity (e.g. a bond fund): The rate-sensitivity card and yield-to-maturity line HIDE (no honest math possible); bond funds with a live ticker show the standard equity-style return instead. Never a guessed number.
• Bond matured: Banner: 'This bond matured Jun 30, 2036 — record what happened' with [Record payoff]; yields and sensitivity hide (approxYTM already returns nothing when matured).
• Hide balances on: $95,000 / $100,000 / $4,500 masked to ••••; percentages, dates and years-away remain.
• Bond FUND (has a ticker, no maturity): Routes to the equity-style detail INCLUDING the vs-the-market card, PLUS one plain sentence in place of the rates card: 'Bond funds fall when interest rates rise — when rates rise, funds like this fall.' — stated as the general mechanism; the app never asserts what rates did this year (that would be a live market claim it cannot stand behind). The user leaves with the story, not just the number.</t>
        </is>
      </c>
      <c r="C40" s="4" t="n"/>
      <c r="D40" s="4" t="n"/>
      <c r="E40" s="4" t="n"/>
    </row>
    <row r="41" ht="46" customHeight="1"/>
    <row r="42" ht="46" customHeight="1">
      <c r="A42" s="5" t="inlineStr">
        <is>
          <t>▶ Holding detail — alternative (crypto, gold, private stakes, annuities, other)  ·  lens: both</t>
        </is>
      </c>
      <c r="B42" s="6" t="inlineStr">
        <is>
          <t>These are the forgotten assets — manually valued, rarely updated. The page's job is a current value the user believes, dated, and easy to refresh. — Keep manually-valued investments honest: show the value WITH its date, nudge (not nag) when it's stale, let the user update it in one tap, and let them report what it actually returned so the retirement picture uses their truth instead of a generic estimate.</t>
        </is>
      </c>
      <c r="C42" s="7" t="n"/>
      <c r="D42" s="7" t="n"/>
      <c r="E42" s="7" t="n"/>
      <c r="F42" s="7" t="n"/>
      <c r="G42" s="7" t="n"/>
    </row>
    <row r="43" ht="46" customHeight="1">
      <c r="A43" s="8" t="inlineStr">
        <is>
          <t>WIREFRAME</t>
        </is>
      </c>
      <c r="B43" s="9" t="inlineStr">
        <is>
          <t>+------------------------------+
| &lt; Gold coins                 |
|   Alternatives · Commodities |
|                              |
| CURRENT VALUE   $9,000       |
|  value as of Nov 20, 2025    |
|  [Update value]              |
|                              |
| ! This value is 7 months old.|
|   Still about right?         |
|   [Yes, keep it]             |
|   [Update value]             |
|                              |
| Type   Gold / commodities    |
| Typical yearly return for    |
|  this type: ~8.2%            |
|  (i) Estimate from history   |
|                              |
| YOUR REPORTED RETURN (12 mo) |
|  not set   [Add]             |
|                              |
| LOOK BACK: what if this had  |
| been in the stock market?  &gt; |
|                              |
| [Record a buy]               |
| [Record a sale] [History]    |
| [Edit details]               |
+------------------------------+</t>
        </is>
      </c>
      <c r="C43" s="3" t="inlineStr">
        <is>
          <t>BUILD NOTE:
Sale flow and summaries EXIST (OtherInvestmentsScreen.tsx + src/domain/alternatives). NET-NEW: value_as_of + nudge (shared with bonds), reported-return card placement, look-back for manual assets (v2-able: ship the entry hidden for manual assets if dated value pairs are missing). This page replaces OtherInvestmentsScreen's row expansion as a routed detail.</t>
        </is>
      </c>
      <c r="D43" s="3" t="inlineStr">
        <is>
          <t>INTERACTIONS:
Update value = amount + as-of date, one save writes both. 'Yes, keep it' one-taps the re-stamp. Record a sale mirrors the OtherInvestmentsScreen confirm ('part or all?'). Info dot on typical return opens the source note (BENCHMARK_META provenance already in src/domain/assets).</t>
        </is>
      </c>
      <c r="E43" s="3" t="inlineStr">
        <is>
          <t>ACCESSIBILITY:
Nudge card announced as 'Notice: this value is 7 months old' (notice, not alarm). All buttons full-width, 44pt+. Stale row on the main list carries the same '!' icon PLUS the words 'value 7 months old' — never icon alone.</t>
        </is>
      </c>
    </row>
    <row r="44" ht="46" customHeight="1">
      <c r="A44" s="3" t="inlineStr">
        <is>
          <t xml:space="preserve">   Current value + as-of + edit-in-place</t>
        </is>
      </c>
      <c r="B44" s="3" t="inlineStr">
        <is>
          <t>'$9,000 · value as of Nov 20, 2025' with Update value right there.</t>
        </is>
      </c>
      <c r="C44" s="3" t="inlineStr">
        <is>
          <t>EXISTING: value = account balance (alternatives are manually-valued AssetAccounts — src/domain/alternatives/index.ts:1-3, isAlternative :11). NET-NEW: value_as_of stamp + valueFreshness (engine spec 3, shared with bonds)</t>
        </is>
      </c>
      <c r="D44" s="3" t="inlineStr">
        <is>
          <t>balance, value_as_of (new), kind</t>
        </is>
      </c>
      <c r="E44" s="3" t="inlineStr">
        <is>
          <t>Same balance Net Worth and the nest egg read; Alternatives group subtotal on Invest main = alternativesSummary.totalValue (src/domain/alternatives/index.ts:16).</t>
        </is>
      </c>
    </row>
    <row r="45" ht="46" customHeight="1">
      <c r="A45" s="3" t="inlineStr">
        <is>
          <t xml:space="preserve">   Stale-value nudge (6+ months)</t>
        </is>
      </c>
      <c r="B45" s="3" t="inlineStr">
        <is>
          <t>A factual card: how old the value is, keep-or-update choice. 'Yes, keep it' re-stamps the date so the nudge rests for another 6 months.</t>
        </is>
      </c>
      <c r="C45" s="3" t="inlineStr">
        <is>
          <t>NET-NEW: valueFreshness helper (engine spec 3); UI pattern mirrors the price-staleness warning wording</t>
        </is>
      </c>
      <c r="D45" s="3" t="inlineStr">
        <is>
          <t>value_as_of</t>
        </is>
      </c>
      <c r="E45" s="3" t="inlineStr">
        <is>
          <t>One freshness rule (6 months) shared by bonds and alternatives — a single constant, not per-screen numbers.</t>
        </is>
      </c>
    </row>
    <row r="46" ht="46" customHeight="1">
      <c r="A46" s="3" t="inlineStr">
        <is>
          <t xml:space="preserve">   Type + typical-return line</t>
        </is>
      </c>
      <c r="B46" s="3" t="inlineStr">
        <is>
          <t>The investment's type and the typical yearly return used for projections ('~8.2% for gold/commodities'), labeled as an estimate from history.</t>
        </is>
      </c>
      <c r="C46" s="3" t="inlineStr">
        <is>
          <t>EXISTING: ASSET_KINDS ret values (src/domain/assets/index.ts:97) via benchmarkReturn (src/domain/assets/index.ts:283); blended view = alternativesSummary (src/domain/alternatives/index.ts:16)</t>
        </is>
      </c>
      <c r="D46" s="3" t="inlineStr">
        <is>
          <t>kind, benchmarkReturn(kind)</t>
        </is>
      </c>
      <c r="E46" s="3" t="inlineStr">
        <is>
          <t>Same per-type return the retirement projection uses — if the user overrides it, both places change together.</t>
        </is>
      </c>
    </row>
    <row r="47" ht="56" customHeight="1">
      <c r="A47" s="3" t="inlineStr">
        <is>
          <t xml:space="preserve">   Your reported return (past 12 months) — editable here</t>
        </is>
      </c>
      <c r="B47" s="3" t="inlineStr">
        <is>
          <t>'not set [Add]' or the reported figure with Edit. Same card as on the bond page.</t>
        </is>
      </c>
      <c r="C47" s="3" t="inlineStr">
        <is>
          <t>EXISTING: actual_ttm (src/domain/assets/index.ts:46) via the shared ReportedReturnEditor (extracted from RetirementCockpit.tsx:940)</t>
        </is>
      </c>
      <c r="D47" s="3" t="inlineStr">
        <is>
          <t>actual_ttm</t>
        </is>
      </c>
      <c r="E47" s="3" t="inlineStr">
        <is>
          <t>Feeds portfolioActualReturn (src/domain/assets/index.ts:73) on the Retirement screen — one field, two readers.</t>
        </is>
      </c>
    </row>
    <row r="48" ht="64" customHeight="1">
      <c r="A48" s="3" t="inlineStr">
        <is>
          <t xml:space="preserve">   Look back entry</t>
        </is>
      </c>
      <c r="B48" s="3" t="inlineStr">
        <is>
          <t>'What if this had been in the stock market?' — factual comparison of this asset's dollar path vs the market fund over the chosen window.</t>
        </is>
      </c>
      <c r="C48" s="3" t="inlineStr">
        <is>
          <t>NET-NEW: lookBack engine (engine spec 2); for a manually-valued asset it compares the value change between two dated value entries vs the market's return between those dates</t>
        </is>
      </c>
      <c r="D48" s="3" t="inlineStr">
        <is>
          <t>balance history / value_as_of pairs, market series</t>
        </is>
      </c>
      <c r="E48" s="3" t="inlineStr">
        <is>
          <t>Market side uses the same benchmark series as every other comparison.</t>
        </is>
      </c>
    </row>
    <row r="49" ht="46" customHeight="1">
      <c r="A49" s="3" t="inlineStr">
        <is>
          <t xml:space="preserve">   Record a buy / Record a sale / History</t>
        </is>
      </c>
      <c r="B49" s="3" t="inlineStr">
        <is>
          <t>Add money in, take money out (part or all), and the audit trail. Cash side lands in a chosen account.</t>
        </is>
      </c>
      <c r="C49" s="3" t="inlineStr">
        <is>
          <t>EXISTING: 'Record a sale' flow at src/screens/OtherInvestmentsScreen.tsx:99/:136 ('alternatives are sellable too'); transaction ledger types (src/domain/transactions/index.ts:10)</t>
        </is>
      </c>
      <c r="D49" s="3" t="inlineStr">
        <is>
          <t>Transaction { BUY/SELL/DEPOSIT/WITHDRAWAL, amount, date }</t>
        </is>
      </c>
      <c r="E49" s="3" t="inlineStr">
        <is>
          <t>Same ledger and history sheet as stocks and bonds.</t>
        </is>
      </c>
    </row>
    <row r="50" ht="312.5" customHeight="1">
      <c r="A50" s="2" t="inlineStr">
        <is>
          <t xml:space="preserve">   STATES</t>
        </is>
      </c>
      <c r="B50" s="3" t="inlineStr">
        <is>
          <t>• Fresh value (&lt; 6 months): No nudge card; just the dated value.
• Reported return not set: Card shows 'not set [Add]' and the projections line clarifies 'using the typical ~8.2% until you report your own' — no silent substitution.
• Annuity type: Copy adapts: 'value' becomes 'current account value'; sale button reads 'Record a withdrawal'. Same fields underneath.
• Hide balances on: $ masked to ••••; type, dates, percentages remain.</t>
        </is>
      </c>
      <c r="C50" s="4" t="n"/>
      <c r="D50" s="4" t="n"/>
      <c r="E50" s="4" t="n"/>
    </row>
    <row r="51" ht="46" customHeight="1"/>
    <row r="52" ht="46" customHeight="1">
      <c r="A52" s="5" t="inlineStr">
        <is>
          <t>▶ Look back — what if I'd moved money?  ·  lens: both</t>
        </is>
      </c>
      <c r="B52" s="6" t="inlineStr">
        <is>
          <t>The truth-teller answering hindsight questions with real past prices — closure, not regret-bait, and never a recommendation about tomorrow. — Answer the question every investor actually asks — 'what if I'd moved that money?' — with real historical prices and honest wording. It is explicitly backward-looking: a fact about the past, clearly separated from any forward estimate, and never a suggestion to trade now.</t>
        </is>
      </c>
      <c r="C52" s="7" t="n"/>
      <c r="D52" s="7" t="n"/>
      <c r="E52" s="7" t="n"/>
      <c r="F52" s="7" t="n"/>
      <c r="G52" s="7" t="n"/>
    </row>
    <row r="53" ht="46" customHeight="1">
      <c r="A53" s="8" t="inlineStr">
        <is>
          <t>WIREFRAME</t>
        </is>
      </c>
      <c r="B53" s="9" t="inlineStr">
        <is>
          <t>+------------------------------+
| &lt; Look back                  |
|  Facts about the PAST only   |
|                              |
| What if I'd moved money      |
| 12 months ago?               |
|                              |
| Amount  [$20,000        ]    |
| From    [Bond fund (BND) v]  |
| To      [US stocks (VTI) v]  |
| When    [12 months ago   v]  |
|                              |
| WHAT ACTUALLY HAPPENED       |
|  Left in BND it became       |
|   $19,400 (down $600, -3%)   |
|  Moved to VTI it would be    |
|   $22,020 (up $2,020, +10.1%)|
|                              |
|  Difference: $2,620 more if  |
|  you had moved. Real past    |
|  prices; not a prediction of |
|  what happens next.          |
|                              |
| [Try another look-back]      |
+------------------------------+</t>
        </is>
      </c>
      <c r="C53" s="3" t="inlineStr">
        <is>
          <t>BUILD NOTE:
NET-NEW screen + one small pure helper; all price data and pickers exist. Ship behind the Invest main card. Keep the forward what-if (sliders, on the Plan/Invest boundary per high-level design) visually distinct: forward uses sliders + range, backward uses dropdowns + exact past numbers.</t>
        </is>
      </c>
      <c r="D53" s="3" t="inlineStr">
        <is>
          <t>INTERACTIONS:
Any input change recomputes instantly. 'Try another look-back' resets inputs but keeps the panel visible for comparison memory. No share/save in v1 (keeps the feature reflective, not performative).</t>
        </is>
      </c>
      <c r="E53" s="3" t="inlineStr">
        <is>
          <t>ACCESSIBILITY:
Result read as a sentence pair, difference last. 'Down $600' and 'up $2,020' as words + arrows. Inputs are standard labeled fields; the caption is real text at 100% contrast, not a footnote-grey whisper.</t>
        </is>
      </c>
    </row>
    <row r="54" ht="56" customHeight="1">
      <c r="A54" s="3" t="inlineStr">
        <is>
          <t xml:space="preserve">   Inputs: amount, from, to, when</t>
        </is>
      </c>
      <c r="B54" s="3" t="inlineStr">
        <is>
          <t>Dollar amount, source (any priced holding or 'cash'), destination (any priced ticker or the market fund), and how far back (6 / 12 / 24 / 36 months).</t>
        </is>
      </c>
      <c r="C54" s="3" t="inlineStr">
        <is>
          <t>EXISTING pickers: held tickers from positions (accountAllowsTicker, src/domain/assets/index.ts:83); market fund default from benchmarkTicker (src/domain/performance/index.ts:132). NET-NEW: the lookBack computation (engine spec 2)</t>
        </is>
      </c>
      <c r="D54" s="3" t="inlineStr">
        <is>
          <t>amount, fromTicker|cash, toTicker, monthsBack</t>
        </is>
      </c>
      <c r="E54" s="3" t="inlineStr">
        <is>
          <t>Ticker lists come from the same holdings shown on Invest main — nothing pickable here that isn't tracked there.</t>
        </is>
      </c>
    </row>
    <row r="55" ht="80" customHeight="1">
      <c r="A55" s="3" t="inlineStr">
        <is>
          <t xml:space="preserve">   What actually happened panel</t>
        </is>
      </c>
      <c r="B55" s="3" t="inlineStr">
        <is>
          <t>Both paths in dollars with up/down words and percents, then the factual difference. Wording is past-tense throughout ('became', 'would be').</t>
        </is>
      </c>
      <c r="C55" s="3" t="inlineStr">
        <is>
          <t>NET-NEW: lookBack(amount, from, to, monthsBack, priceOf) in src/domain/performance — reuses the existing period-return machinery (periodReturn :105 / closeAsOf internals) on the cached series; 'cash' path = amount unchanged</t>
        </is>
      </c>
      <c r="D55" s="3" t="inlineStr">
        <is>
          <t>endValueFrom, endValueTo, difference, per-path return</t>
        </is>
      </c>
      <c r="E55" s="3" t="inlineStr">
        <is>
          <t>The per-path returns equal what the same tickers show on Invest main for the same window — same series, same helper family; pinned by a test comparing lookBack vs periodReturn.</t>
        </is>
      </c>
    </row>
    <row r="56" ht="46" customHeight="1">
      <c r="A56" s="3" t="inlineStr">
        <is>
          <t xml:space="preserve">   Honesty caption</t>
        </is>
      </c>
      <c r="B56" s="3" t="inlineStr">
        <is>
          <t>'Real past prices; not a prediction of what happens next.' Fixed, non-dismissible.</t>
        </is>
      </c>
      <c r="C56" s="3" t="inlineStr">
        <is>
          <t>Copy contract (product identity); mirrors the 'estimate, not a prediction' caption on forward what-ifs</t>
        </is>
      </c>
      <c r="D56" s="3" t="inlineStr">
        <is>
          <t>n/a</t>
        </is>
      </c>
      <c r="E56" s="3" t="inlineStr">
        <is>
          <t>Backward = 'facts about the past'; forward = 'estimate, not a prediction' — the two captions are never mixed.</t>
        </is>
      </c>
    </row>
    <row r="57" ht="287.5" customHeight="1">
      <c r="A57" s="2" t="inlineStr">
        <is>
          <t xml:space="preserve">   STATES</t>
        </is>
      </c>
      <c r="B57" s="3" t="inlineStr">
        <is>
          <t>• Not enough price history: If either series doesn't reach the chosen start date, show 'we only have prices back to &lt;date&gt; for VTI — try a shorter window' and disable the result. Never quietly shorten the window.
• Prices stale: Freshness line appears under the result ('prices updated 5 days ago — may be out of date').
• Hide balances on: Dollar results masked to ••••; the percent difference stays so the story still reads.
• Entered from a holding: From + amount pre-filled with that holding and its current value; user can change both.</t>
        </is>
      </c>
      <c r="C57" s="4" t="n"/>
      <c r="D57" s="4" t="n"/>
      <c r="E57" s="4" t="n"/>
    </row>
    <row r="58" ht="46" customHeight="1"/>
    <row r="59" ht="46" customHeight="1">
      <c r="A59" s="5" t="inlineStr">
        <is>
          <t>▶ What if I add more? (forward what-if)  ·  lens: both</t>
        </is>
      </c>
      <c r="B59" s="6" t="inlineStr">
        <is>
          <t>The forward companion to Look back, promised in the approved high-level design: slide 'add $X each month', pick a growth rate, and see where the path lands by your retire age — as a range across bad-to-good markets, labeled an estimate, never a promise. Ends in the shared Use-this-plan sheet so adopting the higher saving rate updates the whole app. PURPOSE (c26): this is the FORWARD what-if — what saving more could do (estimate range). LOOK BACK answers the other question — what a past move (e.g. NVDA instead of AMZN six months ago) would have done, with real past prices. The entry cards name the difference.</t>
        </is>
      </c>
      <c r="C59" s="7" t="n"/>
      <c r="D59" s="7" t="n"/>
      <c r="E59" s="7" t="n"/>
      <c r="F59" s="7" t="n"/>
      <c r="G59" s="7" t="n"/>
    </row>
    <row r="60" ht="46" customHeight="1">
      <c r="A60" s="8" t="inlineStr">
        <is>
          <t>WIREFRAME</t>
        </is>
      </c>
      <c r="B60" s="9" t="inlineStr">
        <is>
          <t>+------------------------------+
| &lt; Invest  What if I add more?|
|  Estimate, not a promise     |
|                              |
| Add each month               |
|  [------o--------]  $750/mo  |
| Growing at                   |
|  [5%] [6%] [7%]   your pick  |
|                              |
| By 67 (your retire age)      |
|  Today's path     ~$1.31M    |
|  With $750 more   ~$1.55M    |
|   range $1.2M - $1.9M in     |
|   bad-to-good markets        |
|                              |
| Will my money last?  84% -&gt; 89%    |
|  estimate                    |
|                              |
| [ Use this plan ]            |
|                              |
| Curious about the past?      |
| Look back instead          &gt; |
+------------------------------+</t>
        </is>
      </c>
      <c r="C60" s="3" t="inlineStr">
        <is>
          <t>BUILD NOTE:
Engines EXIST (projectNestEgg, simulate band); screen is NET-NEW and satisfies the approved high-level design's Invest what-if (verification blocker #2). Distinct-from-Look-back rule per the Look-back build note.</t>
        </is>
      </c>
      <c r="D60" s="3" t="inlineStr">
        <is>
          <t>INTERACTIONS:
Slider/rate changes recompute the two paths and the chance delta on release (seeded runs, no flicker). Use this plan -&gt; shared adoption sheet. Cross-link -&gt; Look back.</t>
        </is>
      </c>
      <c r="E60" s="3" t="inlineStr">
        <is>
          <t>ACCESSIBILITY:
Result reads as one sentence with the range last. Sliders have steppers + typed entry. 'Estimate, not a promise' is real text. Rate picker is a radio group.</t>
        </is>
      </c>
    </row>
    <row r="61" ht="46" customHeight="1">
      <c r="A61" s="3" t="inlineStr">
        <is>
          <t xml:space="preserve">   Add-each-month slider + growth-rate picker</t>
        </is>
      </c>
      <c r="B61" s="3" t="inlineStr">
        <is>
          <t>Monthly amount to add on top of today's saving, and a plain growth-rate choice (5/6/7% presets + your own). Trying it out — nothing changes until adopted.</t>
        </is>
      </c>
      <c r="C61" s="3" t="inlineStr">
        <is>
          <t>Local trying-it-out state (useScenario pattern from the F11 composer); rate presets from the same expectedReturn conventions the Plan uses (retirementAssumptions, src/store/useStore.ts:427).</t>
        </is>
      </c>
      <c r="D61" s="3" t="inlineStr">
        <is>
          <t>addMonthly, rate (both local while trying it out); base = shared assumptions contribMonthly + expectedReturn</t>
        </is>
      </c>
      <c r="E61" s="3" t="inlineStr">
        <is>
          <t>PIN: 'today's path' baseline = the same projection the Plan and Net worth show — shared assumptions in, same engine out.</t>
        </is>
      </c>
    </row>
    <row r="62" ht="46" customHeight="1">
      <c r="A62" s="3" t="inlineStr">
        <is>
          <t xml:space="preserve">   Path-by-retire-age result (with range)</t>
        </is>
      </c>
      <c r="B62" s="3" t="inlineStr">
        <is>
          <t>'Today's path ~$1.31M · with $750 more ~$1.55M, range $1.2M–$1.9M in bad-to-good markets' — the range is the honest part; a single point would be a prediction.</t>
        </is>
      </c>
      <c r="C62" s="3" t="inlineStr">
        <is>
          <t>EXISTING: projectNestEgg (src/domain/retirement/index.ts:198) for the paths; the bad-to-good range from simulate() with_band (src/domain/retirement/index.ts:115) at the retire age.</t>
        </is>
      </c>
      <c r="D62" s="3" t="inlineStr">
        <is>
          <t>contribMonthly + addMonthly, expectedReturn/rate, retireAge, current invested balances</t>
        </is>
      </c>
      <c r="E62" s="3" t="inlineStr">
        <is>
          <t>PIN: the same engines as Plan's will-it-last detail band — one projection math; a scenario adopted here shows the identical numbers there.</t>
        </is>
      </c>
    </row>
    <row r="63" ht="56" customHeight="1">
      <c r="A63" s="3" t="inlineStr">
        <is>
          <t xml:space="preserve">   Will-it-last delta</t>
        </is>
      </c>
      <c r="B63" s="3" t="inlineStr">
        <is>
          <t>'84% -&gt; 89%' — what the extra saving does to the one canonical chance number, estimate-labeled.</t>
        </is>
      </c>
      <c r="C63" s="3" t="inlineStr">
        <is>
          <t>EXISTING: simulate() (seeded) run on base and on base+patch; base read through the same selectWillItLast selector the hub uses.</t>
        </is>
      </c>
      <c r="D63" s="3" t="inlineStr">
        <is>
          <t>chance before/after</t>
        </is>
      </c>
      <c r="E63" s="3" t="inlineStr">
        <is>
          <t>PIN: 'before' = hub headline to the digit (same selector, agreement-tested).</t>
        </is>
      </c>
    </row>
    <row r="64" ht="64" customHeight="1">
      <c r="A64" s="3" t="inlineStr">
        <is>
          <t xml:space="preserve">   Use this plan</t>
        </is>
      </c>
      <c r="B64" s="3" t="inlineStr">
        <is>
          <t>Opens the SHARED adoption sheet (F11): previews 'monthly saving $1,500 -&gt; $2,250', writes to the one shared assumptions source on confirm, one-tap revert.</t>
        </is>
      </c>
      <c r="C64" s="3" t="inlineStr">
        <is>
          <t>NET-NEW per F11 contract: patch {contribMonthly += addMonthly, expectedReturn if changed} through scenarioDiff/adoptPlan — the same sheet Social Security, multi-goal, and Roth use.</t>
        </is>
      </c>
      <c r="D64" s="3" t="inlineStr">
        <is>
          <t>patch: contribMonthly, expectedReturn</t>
        </is>
      </c>
      <c r="E64" s="3" t="inlineStr">
        <is>
          <t>PIN: post-adoption, Home hero, Cash flow, Plan hub, and Net worth's future path all re-derive from the one source (F11 propagation map).</t>
        </is>
      </c>
    </row>
    <row r="65" ht="46" customHeight="1">
      <c r="A65" s="3" t="inlineStr">
        <is>
          <t xml:space="preserve">   Look back cross-link</t>
        </is>
      </c>
      <c r="B65" s="3" t="inlineStr">
        <is>
          <t>'Curious about the past? Look back instead' — the two what-ifs stay visually distinct: forward = sliders + range + estimate; backward = dropdowns + exact past numbers + facts caption.</t>
        </is>
      </c>
      <c r="C65" s="3" t="inlineStr">
        <is>
          <t>Navigation to the Look-back screen (already designed).</t>
        </is>
      </c>
      <c r="D65" s="3" t="inlineStr">
        <is>
          <t>n/a</t>
        </is>
      </c>
      <c r="E65" s="3" t="inlineStr">
        <is>
          <t>The forward/backward caption rule: forward says 'estimate, not a promise'; backward says 'real past prices, not a prediction' — never mixed.</t>
        </is>
      </c>
    </row>
    <row r="66" ht="325" customHeight="1">
      <c r="A66" s="2" t="inlineStr">
        <is>
          <t xml:space="preserve">   STATES</t>
        </is>
      </c>
      <c r="B66" s="3" t="inlineStr">
        <is>
          <t>• No retirement inputs yet: Shows 'finish your Plan basics to see this' with the three starter questions link — never a projection built on guessed inputs.
• Trying it out: Standard banner: 'this won't change your plan until you tap Use this plan.'
• Post-adoption: Confirmation + revert affordance per the shared adoption sheet; the slider re-baselines to the new committed saving.
• Hidden balances: Dollar figures mask; percentages and the range shape remain.</t>
        </is>
      </c>
      <c r="C66" s="4" t="n"/>
      <c r="D66" s="4" t="n"/>
      <c r="E66" s="4" t="n"/>
    </row>
    <row r="67" ht="46" customHeight="1"/>
    <row r="68" ht="46" customHeight="1">
      <c r="A68" s="5" t="inlineStr">
        <is>
          <t>▶ Record a transaction + History  ·  lens: both</t>
        </is>
      </c>
      <c r="B68" s="6" t="inlineStr">
        <is>
          <t>Chief of staff keeping the books: every buy, sale, dividend, coupon or cash move — for stocks, bonds AND alternatives — lands in one dated, auditable ledger. — One recording flow for every kind of money movement across all three investment classes, with guardrails (can't spend cash you don't have, can't sell shares you don't own), and one history that explains every balance change — the audit trail that makes the numbers trustworthy.</t>
        </is>
      </c>
      <c r="C68" s="7" t="n"/>
      <c r="D68" s="7" t="n"/>
      <c r="E68" s="7" t="n"/>
      <c r="F68" s="7" t="n"/>
      <c r="G68" s="7" t="n"/>
    </row>
    <row r="69" ht="46" customHeight="1">
      <c r="A69" s="8" t="inlineStr">
        <is>
          <t>WIREFRAME</t>
        </is>
      </c>
      <c r="B69" s="9" t="inlineStr">
        <is>
          <t>+------------------------------+
| Record               X       |
| [Buy] [Sell] [Deposit]       |
| [Withdraw] [Transfer]        |
| [Dividend/Interest]          |
|                              |
| Account [Fidelity brokerage] |
| Ticker  [VTI]   Shares [10]  |
| Price per share [$285.40]    |
| Date    [Jun 28, 2026]       |
|                              |
| Cash available: $4,120       |
| This buy costs $2,854 - OK   |
|                              |
| [Save]                       |
|------------------------------|
| HISTORY                      |
| Jun 28  Bought 10 VTI @ $285 |
| Jun 15  Dividend VTI $310    |
|         (reinvested)         |
| Jun 1   Coupon $2,250        |
|         Treasury 4.5% '36    |
| May 30  Sold Gold coins      |
|         part sale  $2,000    |
| (swipe left to delete)       |
+------------------------------+</t>
        </is>
      </c>
      <c r="C69" s="3" t="inlineStr">
        <is>
          <t>BUILD NOTE:
Fully EXISTING (TransactionSheet + HistorySheet + ledger engine). Work is placement: surface both from the Invest tab and every detail page, and add COUPON/alt-sale rows to the visible history copy (types already exist in the ledger).</t>
        </is>
      </c>
      <c r="D69" s="3" t="inlineStr">
        <is>
          <t>INTERACTIONS:
Opening from a holding pre-fills account + ticker. Saving appends to the ledger and updates balances through the pure engine, then closes to the page you came from with the new number visible (trust = see the effect immediately). Delete asks 'Remove this record? Balances will be recalculated.'</t>
        </is>
      </c>
      <c r="E69" s="3" t="inlineStr">
        <is>
          <t>ACCESSIBILITY:
Type chips are a radio group. Guardrail messages are polite live-region announcements ('This buy costs more than the cash available'). History rows read as full sentences including the date.</t>
        </is>
      </c>
      <c r="G69" s="3" t="n"/>
    </row>
    <row r="70" ht="46" customHeight="1">
      <c r="A70" s="3" t="inlineStr">
        <is>
          <t xml:space="preserve">   Type chips (Buy / Sell / Deposit / Withdraw / Transfer / Dividend-Interest)</t>
        </is>
      </c>
      <c r="B70" s="3" t="inlineStr">
        <is>
          <t>Which movement is being recorded; the form below adapts. Bond coupons and alternative sales route through the same ledger with their own types.</t>
        </is>
      </c>
      <c r="C70" s="3" t="inlineStr">
        <is>
          <t>EXISTING: TxnType union — BUY, SELL, DEPOSIT, WITHDRAWAL, TRANSFER, TRANSFER_IN_KIND, DIVIDEND, INTEREST, COUPON, FEE, OPENING_* (src/domain/transactions/index.ts:10); UI = TransactionSheet (src/screens/PerformanceScreen.tsx:421)</t>
        </is>
      </c>
      <c r="D70" s="3" t="inlineStr">
        <is>
          <t>type</t>
        </is>
      </c>
      <c r="E70" s="3" t="inlineStr">
        <is>
          <t>One ledger type list app-wide; bond/alt sale flows (BondsScreen.tsx:135, OtherInvestmentsScreen.tsx:99) write the same types.</t>
        </is>
      </c>
    </row>
    <row r="71" ht="56" customHeight="1">
      <c r="A71" s="3" t="inlineStr">
        <is>
          <t xml:space="preserve">   Adaptive form + guardrails</t>
        </is>
      </c>
      <c r="B71" s="3" t="inlineStr">
        <is>
          <t>Account, ticker/holding, shares, price, amount, date; live checks: 'Cash available $4,120 — this buy costs $2,854 — OK' or a plain block ('you only hold 8 shares').</t>
        </is>
      </c>
      <c r="C71" s="3" t="inlineStr">
        <is>
          <t>EXISTING: validity + availableCash guards inside TransactionSheet (PerformanceScreen.tsx:421 onward: enough/sellOk/tickerOk); pure application = applyTransaction (src/domain/transactions)</t>
        </is>
      </c>
      <c r="D71" s="3" t="inlineStr">
        <is>
          <t>account_id, ticker, shares, price, amount, reinvested, date</t>
        </is>
      </c>
      <c r="E71" s="3" t="inlineStr">
        <is>
          <t>The cash sleeve the guard reads is the same cash_balance recomputeBalances folds into the account value — guard and balance can't disagree.</t>
        </is>
      </c>
    </row>
    <row r="72" ht="64" customHeight="1">
      <c r="A72" s="3" t="inlineStr">
        <is>
          <t xml:space="preserve">   Account/holding pickers filtered by class</t>
        </is>
      </c>
      <c r="B72" s="3" t="inlineStr">
        <is>
          <t>Trades list only accounts that can hold tickers; bond coupons attach to the bond; alternative sales attach to the alternative. Duplicate account names get a kind tag so chips are tellable-apart.</t>
        </is>
      </c>
      <c r="C72" s="3" t="inlineStr">
        <is>
          <t>EXISTING: accountAllowsTicker (src/domain/assets/index.ts:83), assetClassOf routing; name-collision disambiguation (B-43 fix, in TransactionSheet)</t>
        </is>
      </c>
      <c r="D72" s="3" t="inlineStr">
        <is>
          <t>accounts filtered per type</t>
        </is>
      </c>
      <c r="E72" s="3" t="inlineStr">
        <is>
          <t>Same class rules that group the Invest main list.</t>
        </is>
      </c>
    </row>
    <row r="73" ht="46" customHeight="1">
      <c r="A73" s="3" t="inlineStr">
        <is>
          <t xml:space="preserve">   History list</t>
        </is>
      </c>
      <c r="B73" s="3" t="inlineStr">
        <is>
          <t>Every transaction newest-first in plain sentences ('Bought 10 VTI at $285'), including bond coupons and alternative part-sales; swipe left to delete (with confirm + balance rollback).</t>
        </is>
      </c>
      <c r="C73" s="3" t="inlineStr">
        <is>
          <t>EXISTING: HistorySheet (src/screens/PerformanceScreen.tsx:567); transactions stored append-only with created_at audit stamp (src/domain/transactions/index.ts:22)</t>
        </is>
      </c>
      <c r="D73" s="3" t="inlineStr">
        <is>
          <t>Transaction rows</t>
        </is>
      </c>
      <c r="E73" s="3" t="inlineStr">
        <is>
          <t>History is the explanation of the balances — replaying it through applyTransaction reproduces the account state (existing engine contract).</t>
        </is>
      </c>
    </row>
    <row r="74" ht="400" customHeight="1">
      <c r="A74" s="2" t="inlineStr">
        <is>
          <t xml:space="preserve">   STATES</t>
        </is>
      </c>
      <c r="B74" s="3" t="inlineStr">
        <is>
          <t>• Not enough cash / shares: Save disabled with the reason in words next to the number that's short. Never a silent failure.
• Dividend reinvested vs cash: Toggle switches the form between shares+price (reinvested -&gt; new lot) and cash amount — existing reinvested flag.
• No transactions yet: History shows 'No activity recorded yet — your first buy, sale or dividend will appear here.'
• Hide balances on: Amounts in history masked; share counts and tickers visible.</t>
        </is>
      </c>
      <c r="C74" s="4" t="n"/>
      <c r="D74" s="4" t="n"/>
      <c r="E74" s="4" t="n"/>
    </row>
    <row r="75" ht="46" customHeight="1"/>
    <row r="76" ht="46" customHeight="1">
      <c r="A76" s="5" t="inlineStr">
        <is>
          <t>▶ Empty, stale, hidden &amp; loading states  ·  lens: both</t>
        </is>
      </c>
      <c r="B76" s="6" t="inlineStr">
        <is>
          <t>The first five seconds and the worst five seconds: brand-new users, dead prices, public places, slow networks. These states carry the trust promise as much as the happy path. — Define exactly how the Invest tab behaves when there is nothing, when data is old or missing, when amounts must be private, and while data loads — so no state ever shows a wrong or fake number.</t>
        </is>
      </c>
      <c r="C76" s="7" t="n"/>
      <c r="D76" s="7" t="n"/>
      <c r="E76" s="7" t="n"/>
      <c r="F76" s="7" t="n"/>
      <c r="G76" s="7" t="n"/>
    </row>
    <row r="77" ht="46" customHeight="1">
      <c r="A77" s="8" t="inlineStr">
        <is>
          <t>WIREFRAME</t>
        </is>
      </c>
      <c r="B77" s="9" t="inlineStr">
        <is>
          <t>EMPTY
+------------------------------+
| Invest                       |
|                              |
|   You haven't added any      |
|   investments yet.           |
|                              |
|   Add what you own - stocks, |
|   funds, bonds, crypto, gold |
|   - and we'll track how it's |
|   doing, in plain English.   |
|                              |
|   [+ Add an investment]      |
|   [Import from a file]       |
+------------------------------+
STALE / MISSING PRICES
+------------------------------+
| ! Prices may be out of date  |
|   (5 days old). [Refresh]    |
| NVDA  $261,900  up +41%      |
| ZZZT  $12,400 - no current   |
|  price, showing what you     |
|  paid. Check the symbol?     |
+------------------------------+
HIDDEN BALANCES
+------------------------------+
| Total return (1 year)        |
|  Up  ••••  (+12.9%)          |
|  You're ahead by 2.8 points  |
| NVDA  ••••   up +41%       &gt; |
+------------------------------+
LOADING
+------------------------------+
| Updating prices...           |
| [shimmer]  last updated      |
|  Jun 30, 5:10 pm shown below |
+------------------------------+</t>
        </is>
      </c>
      <c r="C77" s="3" t="inlineStr">
        <is>
          <t>BUILD NOTE:
All mechanisms EXIST; the work is a written state contract per screen + tests: (1) never $0 for a priced holding with no price, (2) never an unlabeled stale number, (3) no raw money() calls on the Invest tab (extend scripts/check-ui-tests.sh style gate), (4) empty-state renders with zero crashes in the 28-screen smoke suite.</t>
        </is>
      </c>
      <c r="D77" s="3" t="inlineStr">
        <is>
          <t>INTERACTIONS:
Refresh triggers a fetch and updates the freshness line. The hidden-balances eye works on every Invest screen identically. Empty-state buttons open the same editors as the main screen.</t>
        </is>
      </c>
      <c r="E77" s="3" t="inlineStr">
        <is>
          <t>ACCESSIBILITY:
Masked amounts announced as 'amount hidden'. Stale banner is an alert region announced once, not on every scroll. Empty state text is the first focus target, buttons second.</t>
        </is>
      </c>
    </row>
    <row r="78" ht="46" customHeight="1">
      <c r="A78" s="3" t="inlineStr">
        <is>
          <t xml:space="preserve">   Empty state</t>
        </is>
      </c>
      <c r="B78" s="3" t="inlineStr">
        <is>
          <t>A plain invitation naming all classes (stocks, funds, bonds, crypto, gold) with Add and Import paths. No zeroed charts, no $0 return.</t>
        </is>
      </c>
      <c r="C78" s="3" t="inlineStr">
        <is>
          <t>EXISTING entry points: HoldingEditor (PerformanceScreen.tsx:248), CSV import flow (src/screens/ImportHoldingsScreen.tsx)</t>
        </is>
      </c>
      <c r="D78" s="3" t="inlineStr">
        <is>
          <t>positions empty AND no bond/alternative accounts</t>
        </is>
      </c>
      <c r="E78" s="3" t="inlineStr">
        <is>
          <t>Empty is defined the same way the main screen groups: no rows from any of the three classes.</t>
        </is>
      </c>
    </row>
    <row r="79" ht="42" customHeight="1">
      <c r="A79" s="3" t="inlineStr">
        <is>
          <t xml:space="preserve">   Stale-price banner + per-holding fallback</t>
        </is>
      </c>
      <c r="B79" s="3" t="inlineStr">
        <is>
          <t>One banner when the cache is 4+ days old (with Refresh); per-holding 'no current price — showing what you paid' rows for missing tickers, plus a symbol-typo hint.</t>
        </is>
      </c>
      <c r="C79" s="3" t="inlineStr">
        <is>
          <t>EXISTING: priceFreshness (src/services/marketData.ts:60, stale at &gt;= 4 days), B-19 cost-basis fallback (recomputeBalances, src/store/useStore.ts:13), isPlausibleTicker (marketData.ts:53)</t>
        </is>
      </c>
      <c r="D79" s="3" t="inlineStr">
        <is>
          <t>pricesFetchedAt, per-ticker cache hits</t>
        </is>
      </c>
      <c r="E79" s="3" t="inlineStr">
        <is>
          <t>The fallback value shown is the same costBasis the header math uses — the screen never shows $0 for a holding it counts at cost in totals.</t>
        </is>
      </c>
    </row>
    <row r="80" ht="64" customHeight="1">
      <c r="A80" s="3" t="inlineStr">
        <is>
          <t xml:space="preserve">   Hidden-balances rendering</t>
        </is>
      </c>
      <c r="B80" s="3" t="inlineStr">
        <is>
          <t>Every dollar amount becomes •••• everywhere on the tab (glance, lists, details, history, look-back); percentages, points, dates, share counts stay.</t>
        </is>
      </c>
      <c r="C80" s="3" t="inlineStr">
        <is>
          <t>EXISTING: useMoney hook + BALANCE_MASK (src/components/useMoney.ts); global toggle in TopBar (src/components/TopBar.tsx:100)</t>
        </is>
      </c>
      <c r="D80" s="3" t="inlineStr">
        <is>
          <t>hideBalances store flag</t>
        </is>
      </c>
      <c r="E80" s="3" t="inlineStr">
        <is>
          <t>One masking rule via one hook — any new Invest surface MUST render money through useMoney (build gate: no raw money() for balances).</t>
        </is>
      </c>
    </row>
    <row r="81" ht="48" customHeight="1">
      <c r="A81" s="3" t="inlineStr">
        <is>
          <t xml:space="preserve">   Loading behavior</t>
        </is>
      </c>
      <c r="B81" s="3" t="inlineStr">
        <is>
          <t>Shimmer over the glance with 'Updating prices…' and the last-updated stamp; cached numbers replace the shimmer as soon as they exist. Manual values (bonds/alts) never shimmer — they're local.</t>
        </is>
      </c>
      <c r="C81" s="3" t="inlineStr">
        <is>
          <t>EXISTING: fetchPriceSeries (src/services/marketData.ts:73) + cached store.priceCache</t>
        </is>
      </c>
      <c r="D81" s="3" t="inlineStr">
        <is>
          <t>pricesFetchedAt, in-flight flag</t>
        </is>
      </c>
      <c r="E81" s="3" t="inlineStr">
        <is>
          <t>Whatever number replaces the shimmer is the same one the freshness line describes.</t>
        </is>
      </c>
    </row>
    <row r="82" ht="128" customHeight="1">
      <c r="A82" s="2" t="inlineStr">
        <is>
          <t xml:space="preserve">   STATES</t>
        </is>
      </c>
      <c r="B82" s="3" t="inlineStr">
        <is>
          <t>• Only manual assets (no priced tickers): Glance switches to 'Total value $122,000 · returns need prices or your reported return' and highlights the reported-return Add buttons — no fake 0% return.
• Refresh fails (offline): Banner: 'Couldn't update prices — showing Jun 30 prices.' Numbers stay, labeled. Retry available.
• Partial import: Rows that imported without prices appear in the missing-price treatment immediately, so an import never looks like money vanished.</t>
        </is>
      </c>
      <c r="C82" s="4" t="n"/>
      <c r="D82" s="4" t="n"/>
      <c r="E82" s="4" t="n"/>
    </row>
    <row r="83">
      <c r="A83" s="17" t="inlineStr">
        <is>
          <t>▶ v1.2 AMENDMENT — What if I save more? (Look ahead) — founder-directed redesign 2026-07-19</t>
        </is>
      </c>
      <c r="B83" s="4" t="inlineStr">
        <is>
          <t>Everything on ONE screen: the two plan basics the math needs are asked inline and SAVED to the one plan. Objective: reduce friction — never send the user to another tab to unlock this screen.</t>
        </is>
      </c>
      <c r="C83" s="4" t="inlineStr"/>
      <c r="D83" s="4" t="inlineStr"/>
      <c r="E83" s="4" t="inlineStr"/>
      <c r="F83" s="4" t="inlineStr"/>
      <c r="G83" s="4" t="inlineStr"/>
    </row>
    <row r="84">
      <c r="A84" s="18" t="inlineStr">
        <is>
          <t xml:space="preserve">   Inline slider — Your age</t>
        </is>
      </c>
      <c r="B84" s="4" t="inlineStr">
        <is>
          <t>Slider 25–80, 44pt thumb, live value 20pt. SAVES to the CANONICAL field onboardingProfile.birthYear (computed as current year − age) — the SAME field onboarding writes and every engine reads. NO new/duplicate field.</t>
        </is>
      </c>
      <c r="C84" s="4" t="inlineStr">
        <is>
          <t>EXISTING: onboardingProfile.birthYear</t>
        </is>
      </c>
      <c r="D84" s="4" t="inlineStr">
        <is>
          <t>birthYear</t>
        </is>
      </c>
      <c r="E84" s="4" t="inlineStr">
        <is>
          <t>One source: Home hero, Plan, this screen all derive age identically</t>
        </is>
      </c>
      <c r="F84" s="4" t="inlineStr"/>
      <c r="G84" s="4" t="inlineStr"/>
    </row>
    <row r="85">
      <c r="A85" s="18" t="inlineStr">
        <is>
          <t xml:space="preserve">   Inline slider — Retire at</t>
        </is>
      </c>
      <c r="B85" s="4" t="inlineStr">
        <is>
          <t>Slider 50–75 (min = age+1). SAVES to the CANONICAL field retirementAssumptions.retireAge — the SAME override the Plan hub edits (falls back to onboarding targetRetirementAge when unset). NO duplicate field.</t>
        </is>
      </c>
      <c r="C85" s="4" t="inlineStr">
        <is>
          <t>EXISTING: retirementAssumptions.retireAge (A.retireAge ?? op.targetRetirementAge)</t>
        </is>
      </c>
      <c r="D85" s="4" t="inlineStr">
        <is>
          <t>retireAge</t>
        </is>
      </c>
      <c r="E85" s="4" t="inlineStr">
        <is>
          <t>Plan cockpit and this screen show the same retire age always</t>
        </is>
      </c>
      <c r="F85" s="4" t="inlineStr"/>
      <c r="G85" s="4" t="inlineStr"/>
    </row>
    <row r="86">
      <c r="A86" s="18" t="inlineStr">
        <is>
          <t xml:space="preserve">   Info dot — on the delta ($ amount) and on Projected nest egg</t>
        </is>
      </c>
      <c r="B86" s="4" t="inlineStr">
        <is>
          <t>Both open the SAME plain-English explanation (the founder’s own approved copy, 2026-07-19): “We take your earmarked retirement accounts and apply benchmark market growth tailored to your specific asset mix, compounding your current balances and future contributions through your retirement date. The amount shown represents the incremental wealth generated by this additional monthly contribution over that period. As always, you have full control over return assumptions, inflation rates, and variables in Plan. An estimate, not a promise.”</t>
        </is>
      </c>
      <c r="C86" s="4" t="inlineStr">
        <is>
          <t>Glossary term (one entry, one component — InfoDot)</t>
        </is>
      </c>
      <c r="D86" s="4" t="inlineStr">
        <is>
          <t>glossary: nestEggMath</t>
        </is>
      </c>
      <c r="E86" s="4" t="inlineStr">
        <is>
          <t>Same text wherever the term appears</t>
        </is>
      </c>
      <c r="F86" s="4" t="inlineStr"/>
      <c r="G86" s="4" t="inlineStr"/>
    </row>
    <row r="87">
      <c r="A87" s="18" t="inlineStr">
        <is>
          <t xml:space="preserve">   Empty states (v1.2)</t>
        </is>
      </c>
      <c r="B87" s="4" t="inlineStr">
        <is>
          <t>The "plan basics missing" empty state is REMOVED — the sliders ARE the questions. Only remaining gate: no accounts → "Connect or add an account ›" (opens the connect chooser). Dial renders only when the payoff can compute.</t>
        </is>
      </c>
      <c r="C87" s="4" t="inlineStr">
        <is>
          <t>built 2026-07-19 (workbook row 19) + this amendment</t>
        </is>
      </c>
      <c r="D87" s="4" t="inlineStr"/>
      <c r="E87" s="4" t="inlineStr"/>
      <c r="F87" s="4" t="inlineStr"/>
      <c r="G87" s="4" t="inlineStr"/>
    </row>
    <row r="88">
      <c r="A88" s="18" t="inlineStr">
        <is>
          <t xml:space="preserve">   Title</t>
        </is>
      </c>
      <c r="B88" s="4" t="inlineStr">
        <is>
          <t>Screen title becomes "What if I save more?" (founder wording: save, not add).</t>
        </is>
      </c>
      <c r="C88" s="4" t="inlineStr"/>
      <c r="D88" s="4" t="inlineStr"/>
      <c r="E88" s="4" t="inlineStr"/>
      <c r="F88" s="4" t="inlineStr"/>
      <c r="G88" s="4"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74"/>
  <sheetViews>
    <sheetView tabSelected="1" zoomScale="158" workbookViewId="0">
      <pane ySplit="1" topLeftCell="A55" activePane="bottomLeft" state="frozen"/>
      <selection pane="bottomLeft" activeCell="A60" sqref="A60"/>
    </sheetView>
  </sheetViews>
  <sheetFormatPr baseColWidth="10" defaultColWidth="8.83203125" defaultRowHeight="15"/>
  <cols>
    <col width="30" customWidth="1" min="1" max="1"/>
    <col width="58" customWidth="1" min="2" max="2"/>
    <col width="42" customWidth="1" min="3" max="3"/>
    <col width="30" customWidth="1" min="4" max="4"/>
    <col width="32" customWidth="1" min="5" max="5"/>
    <col width="11" customWidth="1" min="6" max="6"/>
    <col width="24" customWidth="1" min="7" max="7"/>
  </cols>
  <sheetData>
    <row r="1" ht="26" customHeight="1">
      <c r="A1" s="1" t="inlineStr">
        <is>
          <t>Screen / element</t>
        </is>
      </c>
      <c r="B1" s="1" t="inlineStr">
        <is>
          <t>Wireframe (phone) or what it shows</t>
        </is>
      </c>
      <c r="C1" s="1" t="inlineStr">
        <is>
          <t>Data lineage (engine)</t>
        </is>
      </c>
      <c r="D1" s="1" t="inlineStr">
        <is>
          <t>Fields</t>
        </is>
      </c>
      <c r="E1" s="1" t="inlineStr">
        <is>
          <t>Sameness pin</t>
        </is>
      </c>
      <c r="F1" s="1" t="inlineStr">
        <is>
          <t>✅ Approve?</t>
        </is>
      </c>
      <c r="G1" s="1" t="inlineStr">
        <is>
          <t>💬 Your comments</t>
        </is>
      </c>
    </row>
    <row r="2" ht="46" customHeight="1">
      <c r="A2" s="5" t="inlineStr">
        <is>
          <t>▶ Cash flow main — retired  ·  lens: Retired</t>
        </is>
      </c>
      <c r="B2" s="6" t="inlineStr">
        <is>
          <t>The retiree's paycheck, told truthfully month by month. The big number is what is safe to spend THIS month and THIS year, split into its real parts: the guaranteed money that arrives (Social Security, pension, annuity — each named), plus a safe draw from savings, minus the big bills that land in that specific month. Every by-month view carries the month AND the year (July 2026 through June 2027), so a November property tax or a December pension lump shows up in its real month — never averaged flat. The screen also shows which accounts the draw would come from (and lets you change that order), and a small will-it-last strip that links to its home in Plan.</t>
        </is>
      </c>
      <c r="C2" s="7" t="n"/>
      <c r="D2" s="7" t="n"/>
      <c r="E2" s="7" t="n"/>
      <c r="F2" s="7" t="n"/>
      <c r="G2" s="7" t="n"/>
    </row>
    <row r="3" ht="400" customHeight="1">
      <c r="A3" s="8" t="inlineStr">
        <is>
          <t>WIREFRAME</t>
        </is>
      </c>
      <c r="B3" s="9" t="inlineStr">
        <is>
          <t>+------------------------------+
| Cash flow        July 2026   |
|                              |
| Safe to spend                |
|  This month        $5,840    |
|  This year   ~$71,600 est.   |
|   Social Security   $2,600   |
|   Pension           $1,600   |
|    = Guaranteed     $4,200   |
|   + Safe draw       $1,640   |
|   - Big bills (Jul)     $0   |
|                              |
| By month   in |###  out |##  |
|  Jul 26  in|#####| out|###|  |
|  Aug 26  in|#####| out|###|  |
|  Nov 26  in|#####| out|####|!|
|    ! Property tax $1,900     |
|  Dec 26  in|#######| out|###||
|    + Pension lump $3,400     |
|  Jan 27  in|#####| out|###|  |
|  ...     Jun 27              |
|  (tap a month for detail)    |
| [ All bills &amp; the calendar &gt; ]|
|                              |
| Draw comes from   Steer it &gt; |
|  1 Cash     2 Taxable        |
|  3 Pre-tax  4 Roth    Why? &gt; |
|                              |
| Will my money last?  Likely - 84%  |
|  estimate - 71-95% across bad-to-good markets      |
|  Lives in your Plan &gt;        |
+------------------------------+</t>
        </is>
      </c>
      <c r="C3" s="3" t="inlineStr">
        <is>
          <t>BUILD NOTE:
The hero and decomposition are net-new (F5). The bars are a re-skin of cashflowYear once it is promoted to the F2 canonical grid — the rolling dated window, year-wrap labels, and month+year placement already exist in that helper. Draw-order and will-it-last reuse src/domain/decumulation and src/domain/retirement as-is. Today's CashFlowScreen.tsx is working-lens only and uses calendar January-December grids — it is replaced by this screen with a lens switch.</t>
        </is>
      </c>
      <c r="D3" s="3" t="inlineStr">
        <is>
          <t>INTERACTIONS:
Tap any month bar → Month detail for that dated month. Tap 'Steer it' → Draw-order steer sheet. Tap 'Why?' → plain-English explainer per bucket (text already written in withdrawalOrder). Tap the will-it-last strip → Plan tab (canonical home). Pull to refresh → re-pull balances and re-derive the hero. Tap 'this year' → expands a 12-row list of the same cells as the bars. 'All bills &amp; the calendar' -&gt; Bill calendar v2 (add/edit dated bills — the first-run 'add your property tax' step lands here too).</t>
        </is>
      </c>
      <c r="E3" s="3" t="inlineStr">
        <is>
          <t>ACCESSIBILITY:
Every bar has a full spoken label ('November 2026: five thousand eight hundred forty dollars in, seven thousand seven hundred fifty out, property tax due'). In/out are told apart by position, pattern, and words — not color alone. Flags are icon + word. Touch targets 44 points; supports large text without truncating the hero.</t>
        </is>
      </c>
    </row>
    <row r="4" ht="46" customHeight="1">
      <c r="A4" s="3" t="inlineStr">
        <is>
          <t xml:space="preserve">   Dated month header</t>
        </is>
      </c>
      <c r="B4" s="3" t="inlineStr">
        <is>
          <t>'Cash flow · July 2026' — the window is anchored to today's real month and slides forward each month.</t>
        </is>
      </c>
      <c r="C4" s="3" t="inlineStr">
        <is>
          <t>EXISTING pattern promoted: cashflowYear in src/domain/cashflow/index.ts already anchors a rolling 12-month window to the current month (startMonth/startYear, lines ~147-232) and adds the year to labels after the wrap ('Jan \u201927'). This anchor becomes the F2 canonical grid's anchor.</t>
        </is>
      </c>
      <c r="D4" s="3" t="inlineStr">
        <is>
          <t>current month, current year</t>
        </is>
      </c>
      <c r="E4" s="3" t="inlineStr">
        <is>
          <t>PIN: every by-month surface (bars, month detail, bill calendar) uses the same anchor month and the same 12 dated cells.</t>
        </is>
      </c>
    </row>
    <row r="5" ht="46" customHeight="1">
      <c r="A5" s="3" t="inlineStr">
        <is>
          <t xml:space="preserve">   Safe to spend — this month (hero)</t>
        </is>
      </c>
      <c r="B5" s="3" t="inlineStr">
        <is>
          <t>$5,840 — the current month's paycheck: guaranteed income + safe draw − big bills landing this month.</t>
        </is>
      </c>
      <c r="C5" s="3" t="inlineStr">
        <is>
          <t>NET-NEW: F5 paycheck engine (see engine spec). Composes existing helpers; the number itself does not exist anywhere in code today.</t>
        </is>
      </c>
      <c r="D5" s="3" t="inlineStr">
        <is>
          <t>F5 month cell: guaranteed[], safeDraw, bills[], netSafeToSpend</t>
        </is>
      </c>
      <c r="E5" s="3" t="inlineStr">
        <is>
          <t>PIN: hero = the F5 cell for the current month = that month's bar = the month-detail total. One cell, four surfaces, one agreement test.</t>
        </is>
      </c>
    </row>
    <row r="6" ht="46" customHeight="1">
      <c r="A6" s="3" t="inlineStr">
        <is>
          <t xml:space="preserve">   Safe to spend — this year</t>
        </is>
      </c>
      <c r="B6" s="3" t="inlineStr">
        <is>
          <t>~$71,600 with an 'estimate' tag — the sum of the 12 dated cells, so lumpy months are counted as they really fall.</t>
        </is>
      </c>
      <c r="C6" s="3" t="inlineStr">
        <is>
          <t>NET-NEW: F5 paycheck engine yearly roll-up. Explicitly NOT monthly × 12 (the 65+ accuracy rule: never a flat average).</t>
        </is>
      </c>
      <c r="D6" s="3" t="inlineStr">
        <is>
          <t>F5 rollup.thisYear = sum of 12 netSafeToSpend cells</t>
        </is>
      </c>
      <c r="E6" s="3" t="inlineStr">
        <is>
          <t>PIN: this-year = exact sum of the 12 by-month cells shown below it; a test adds the bars and must hit this number.</t>
        </is>
      </c>
    </row>
    <row r="7" ht="46" customHeight="1">
      <c r="A7" s="3" t="inlineStr">
        <is>
          <t xml:space="preserve">   Guaranteed income, by named source</t>
        </is>
      </c>
      <c r="B7" s="3" t="inlineStr">
        <is>
          <t>'Social Security $2,600' and 'Pension $1,600' as separate named lines — never a lumped 'income' figure.</t>
        </is>
      </c>
      <c r="C7" s="3" t="inlineStr">
        <is>
          <t>EXISTING capture: retirementIncomeMonthly in src/domain/income/onboarding.ts already stores each source separately (ri_ss, ri_pension, ri_annuities, ri_withdrawals, ri_rmd, ri_other) with its own payment rhythm (ri_*_freq: monthly / quarterly / annual). Gate: currentRetirementIncomeMonthly (same file) only counts it when the user actually receives it now. NET-NEW: F5 places each source in its real months instead of dividing an annual amount by 12.</t>
        </is>
      </c>
      <c r="D7" s="3" t="inlineStr">
        <is>
          <t>ri_ss, ri_pension, ri_annuities, ri_other (ri_withdrawals/ri_rmd EXCLUDED — replaced by the solved safe draw + the pinned required withdrawal, so nothing is counted twice), ri_*_freq, NET-NEW ri_*_month (which month an annual/quarterly source lands)</t>
        </is>
      </c>
      <c r="E7" s="3" t="inlineStr">
        <is>
          <t>PIN: the named source lines sum exactly to the 'Guaranteed' subtotal, and the same per-source amounts appear in month detail.</t>
        </is>
      </c>
    </row>
    <row r="8" ht="46" customHeight="1">
      <c r="A8" s="3" t="inlineStr">
        <is>
          <t xml:space="preserve">   Safe draw line</t>
        </is>
      </c>
      <c r="B8" s="3" t="inlineStr">
        <is>
          <t>'+ Safe draw $1,640' — the steady monthly amount the will-it-last simulation says your savings can support, re-derived from live account balances.</t>
        </is>
      </c>
      <c r="C8" s="3" t="inlineStr">
        <is>
          <t>NET-NEW: F5 paycheck engine, built on EXISTING parts: nest egg from taxBucketSplit + earmarkedAmount (src/domain/decumulation/index.ts, src/domain/assets); sanity band from withdrawalPlan's rate-vs-4%-guideline (src/domain/decumulation/index.ts); sustainability from the simulation simulate() in src/domain/retirement/index.ts.</t>
        </is>
      </c>
      <c r="D8" s="3" t="inlineStr">
        <is>
          <t>tax_bucket, earmarked balances, simulate inputs adopted from Plan</t>
        </is>
      </c>
      <c r="E8" s="3" t="inlineStr">
        <is>
          <t>PIN: the same safe-draw dollar appears in the hero, every month detail, and the steer sheet — one solved number, cached, one test.</t>
        </is>
      </c>
    </row>
    <row r="9" ht="46" customHeight="1">
      <c r="A9" s="3" t="inlineStr">
        <is>
          <t xml:space="preserve">   Big bills line</t>
        </is>
      </c>
      <c r="B9" s="3" t="inlineStr">
        <is>
          <t>'− Big bills (Jul) $0' — only the dated, non-monthly bills that land in THAT month (property tax, insurance, a trip). Everyday monthly bills are what the safe-to-spend is FOR, so they are not subtracted here.</t>
        </is>
      </c>
      <c r="C9" s="3" t="inlineStr">
        <is>
          <t>EXISTING: non-monthly spending categories placed in their due months by spendByMonth (src/domain/budget/index.ts, lines ~128-154) and dated to the day by upcomingBills (src/domain/cashflow/index.ts). Deferred debts join via the NET-NEW first_payment_date field (src/domain/debt/index.ts).</t>
        </is>
      </c>
      <c r="D9" s="3" t="inlineStr">
        <is>
          <t>spendCats bucket='nonmonthly', months, dueDay, NET-NEW year; Debt.due_day, NET-NEW Debt.first_payment_date</t>
        </is>
      </c>
      <c r="E9" s="3" t="inlineStr">
        <is>
          <t>PIN: a month's big-bill total here = the same month's dated bills on the Bill calendar and in month detail.</t>
        </is>
      </c>
    </row>
    <row r="10" ht="46" customHeight="1">
      <c r="A10" s="3" t="inlineStr">
        <is>
          <t xml:space="preserve">   By-month bars (dated, 12 months)</t>
        </is>
      </c>
      <c r="B10" s="3" t="inlineStr">
        <is>
          <t>Twelve bars labeled 'Jul 26' … 'Jun 27', each split into money-in (guaranteed + safe draw) and money-out (bills), with a word/icon flag on unusual months ('! Property tax', '+ Pension lump') so the story is readable without color.</t>
        </is>
      </c>
      <c r="C10" s="3" t="inlineStr">
        <is>
          <t>EXISTING engine promoted: cashflowYear in src/domain/cashflow/index.ts (the only dated rolling grid today — real next-occurrence placement, explicit month+year support via slotForMY, year-wrap labels) becomes the F2 canonical grid; F5 writes the retiree income rows into it.</t>
        </is>
      </c>
      <c r="D10" s="3" t="inlineStr">
        <is>
          <t>F2 cell: calendarMonth, year, label, inflow, outflow, net, runningBalance, incomeItems[], billItems[]</t>
        </is>
      </c>
      <c r="E10" s="3" t="inlineStr">
        <is>
          <t>PIN: bar heights come from the same F2 cells as the Bill calendar rows and the month-detail lists — one grid, no second math.</t>
        </is>
      </c>
    </row>
    <row r="11" ht="46" customHeight="1">
      <c r="A11" s="3" t="inlineStr">
        <is>
          <t xml:space="preserve">   Draw-order preview</t>
        </is>
      </c>
      <c r="B11" s="3" t="inlineStr">
        <is>
          <t>'Draw comes from: 1 Cash, 2 Taxable, 3 Pre-tax, 4 Roth' with 'Steer it' and 'Why?' links — the order the math would tap accounts, not a directive.</t>
        </is>
      </c>
      <c r="C11" s="3" t="inlineStr">
        <is>
          <t>EXISTING: withdrawalOrder(split, age) in src/domain/decumulation/index.ts, fed by taxBucketSplit. Already includes plain-English 'why' text per step and pins the legally required withdrawal from pre-tax accounts first at age 73+ (RMD_START_AGE, rmdAtAge).</t>
        </is>
      </c>
      <c r="D11" s="3" t="inlineStr">
        <is>
          <t>BucketSplit {cash, taxable, preTax, roth}, age, OrderStep.why</t>
        </is>
      </c>
      <c r="E11" s="3" t="inlineStr">
        <is>
          <t>PIN: bucket balances shown = taxBucketSplit of the same live accounts Net worth shows; the four buckets sum to the nest egg used by the safe draw.</t>
        </is>
      </c>
    </row>
    <row r="12" ht="46" customHeight="1">
      <c r="A12" s="3" t="inlineStr">
        <is>
          <t xml:space="preserve">   Will-it-last strip</t>
        </is>
      </c>
      <c r="B12" s="3" t="inlineStr">
        <is>
          <t>'Will my money last? Likely — 84% (estimate, range 71–95%)' with a link to Plan, where the full answer lives.</t>
        </is>
      </c>
      <c r="C12" s="3" t="inlineStr">
        <is>
          <t>EXISTING: simulate() in src/domain/retirement/index.ts (probability of success plus percentile band with with_band). Canonical home is the Plan tab; this strip only mirrors it.</t>
        </is>
      </c>
      <c r="D12" s="3" t="inlineStr">
        <is>
          <t>chance_of_success, band p10/p50/p90, seed</t>
        </is>
      </c>
      <c r="E12" s="3" t="inlineStr">
        <is>
          <t>PIN: identical percentage as Plan — same inputs, same seeded simulation run; an agreement test compares the two surfaces.</t>
        </is>
      </c>
    </row>
    <row r="13" ht="70" customHeight="1">
      <c r="A13" s="2" t="inlineStr">
        <is>
          <t xml:space="preserve">   STATES</t>
        </is>
      </c>
      <c r="B13" s="3" t="inlineStr">
        <is>
          <t>• No guaranteed income captured (empty): Hero shows the safe draw alone with a calm prompt: 'Add your Social Security or pension so your paycheck is complete.' No zeros pretending to be answers; the guaranteed subtotal row is replaced by the prompt.
• Hidden balances: All dollar amounts masked to '••••'; bar shapes, month labels, flags, and the will-it-last percentage stay visible so the story survives without the numbers.
• Stale balances: Calm banner: 'Your Fidelity account last updated 9 days ago — these numbers are as of then.' Amounts get an 'as of' tag; nothing turns red; a refresh action is offered.
• Negative month: A month where big bills exceed income shows a minus number with a word+icon flag ('! short month') and one sentence naming the bill that causes it and whether the year still covers it — never color alone, never hidden.
• Recomputing: After a balance change the hero shows a subtle 'updating…' shimmer for under a second, then the new number; no blank flashes.</t>
        </is>
      </c>
      <c r="C13" s="4" t="n"/>
      <c r="D13" s="4" t="n"/>
      <c r="E13" s="4" t="n"/>
    </row>
    <row r="15" ht="46" customHeight="1">
      <c r="A15" s="5" t="inlineStr">
        <is>
          <t>▶ Cash flow main — working  ·  lens: Working</t>
        </is>
      </c>
      <c r="B15" s="6" t="inlineStr">
        <is>
          <t>For someone still working: today's real cash flow — what comes in, what goes out, what is left — plus the same truthful dated 12-month bars (bonus in its chosen month, stock vesting in its vest months, a one-time payment on its real date). Below it, a clearly labeled PROJECTION of the retirement paycheck they are building toward, using the exact same F5 engine run on projected balances, with every figure flagged as an estimate.</t>
        </is>
      </c>
      <c r="C15" s="7" t="n"/>
      <c r="D15" s="7" t="n"/>
      <c r="E15" s="7" t="n"/>
      <c r="F15" s="7" t="n"/>
      <c r="G15" s="7" t="n"/>
    </row>
    <row r="16" ht="400" customHeight="1">
      <c r="A16" s="8" t="inlineStr">
        <is>
          <t>WIREFRAME</t>
        </is>
      </c>
      <c r="B16" s="9" t="inlineStr">
        <is>
          <t>+------------------------------+
| Cash flow        July 2026   |
|                              |
| This month                   |
|  In (take-home)     $8,210   |
|  Out (bills + debt) $6,470   |
|  = Surplus          $1,740   |
|  Spent so far $2,890 of      |
|  $5,230 planned              |
|                              |
| By month   in |###  out |##  |
|  Jul 26  in|####|  out|###|  |
|  Aug 26  in|####|  out|###|  |
|  Mar 27  in|######| out|###| |
|    + Bonus lands Mar $8,000  |
|  ...     Jun 27              |
|  (tap a month for detail)    |
| [ All bills &amp; the calendar &gt; ]|
|                              |
| Committed from your Plan     |
|  (shows here once adopted,   |
|   e.g. parents $2,000/mo)    |
|                              |
| Your future paycheck         |
|  PROJECTION - an estimate,   |
|  not a promise               |
|  At 67:       ~$6,100 / mo   |
|   Social Security  ~$2,900   |
|   Safe draw        ~$3,200   |
|                              |
| Will my money last?  Likely - 84%  |
|  estimate - see your Plan &gt;  |
+------------------------------+</t>
        </is>
      </c>
      <c r="C16" s="3" t="inlineStr">
        <is>
          <t>BUILD NOTE:
Mostly a re-arrangement of what CashFlowScreen.tsx already computes; the two real changes are (1) swapping its calendar January-December grids for the dated F2 grid, and (2) the net-new projection card via F5's projection mode.</t>
        </is>
      </c>
      <c r="D16" s="3" t="inlineStr">
        <is>
          <t>INTERACTIONS:
Tap a bar → Month detail. Tap the projection card → the Will-it-last detail in Plan (where its assumptions live, each with an edit link). Tap spent-so-far → Month detail for the current month (this design owns it; no legacy screen). Lens switches automatically from the profile (receiving retirement income → retired lens) with a manual toggle in settings. 'All bills &amp; the calendar' -&gt; Bill calendar v2 (add/edit dated bills — the first-run 'add your property tax' step lands here too).</t>
        </is>
      </c>
      <c r="E16" s="3" t="inlineStr">
        <is>
          <t>ACCESSIBILITY:
Surplus announced with direction words ('one thousand seven hundred forty dollars ahead'). Projection card is announced with its estimate disclaimer first. Bars carry full per-month spoken values.</t>
        </is>
      </c>
      <c r="G16" s="3" t="n"/>
    </row>
    <row r="17" ht="46" customHeight="1">
      <c r="A17" s="3" t="inlineStr">
        <is>
          <t xml:space="preserve">   This-month in / out / surplus</t>
        </is>
      </c>
      <c r="B17" s="3" t="inlineStr">
        <is>
          <t>Take-home in ($8,210), bills + debt out ($6,470), surplus ($1,740) — the after-debt surplus definition the whole app uses. Investment income (dividends/interest) appears as its OWN labeled line when present — never silently mixed into take-home (c21).</t>
        </is>
      </c>
      <c r="C17" s="3" t="inlineStr">
        <is>
          <t>EXISTING: incomeMonthlyGrid(op,'available') in src/domain/income/onboarding.ts for take-home; spendByMonth (src/domain/budget/index.ts) for bills; actualDebtPayment (src/domain/debt/index.ts) for what actually leaves for debts; surplusByMonth (src/domain/savings/index.ts) for the after-debt surplus. Same helpers today's CashFlowScreen.tsx uses.</t>
        </is>
      </c>
      <c r="D17" s="3" t="inlineStr">
        <is>
          <t>salaryByMonth, tipsMonthly, c_401k, spendCats, Debt.monthly_payment/minimum_monthly_payment</t>
        </is>
      </c>
      <c r="E17" s="3" t="inlineStr">
        <is>
          <t>PIN: surplus here = Home glance surplus = Budget surplus (existing canonical after-debt definition, 2026-06-23 decision) — the current agreement test extends to this screen.</t>
        </is>
      </c>
    </row>
    <row r="18" ht="46" customHeight="1">
      <c r="A18" s="3" t="inlineStr">
        <is>
          <t xml:space="preserve">   Spent-so-far line</t>
        </is>
      </c>
      <c r="B18" s="3" t="inlineStr">
        <is>
          <t>'Spent so far $2,890 of $5,230 planned' — this month's actual against plan, so 'in/out' is not just theory.</t>
        </is>
      </c>
      <c r="C18" s="3" t="inlineStr">
        <is>
          <t>EXISTING: budgetVsActual in src/domain/budget/index.ts (planned_total, spent_total), already on CashFlowScreen.tsx.</t>
        </is>
      </c>
      <c r="D18" s="3" t="inlineStr">
        <is>
          <t>expenses[], spendCats</t>
        </is>
      </c>
      <c r="E18" s="3" t="inlineStr">
        <is>
          <t>PIN: matches the Budget screen's this-month planned-vs-actual exactly (same helper, same date).</t>
        </is>
      </c>
    </row>
    <row r="19" ht="46" customHeight="1">
      <c r="A19" s="3" t="inlineStr">
        <is>
          <t xml:space="preserve">   By-month dated bars (working)</t>
        </is>
      </c>
      <c r="B19" s="3" t="inlineStr">
        <is>
          <t>Jul 26 … Jun 27 bars of take-home vs spending, with lumpy items in their real months and word flags ('+ Bonus lands Mar').</t>
        </is>
      </c>
      <c r="C19" s="3" t="inlineStr">
        <is>
          <t>F2 canonical grid (promoted cashflowYear, src/domain/cashflow/index.ts). Placement logic carried over from incomeMonthlyGrid (src/domain/income/onboarding.ts): bonus in its chosen month (bonusMonth), stock vesting spread by real vest dates (rsuGrants), benefits only in their active months (benefitActiveMonths), one-time other income in its month (otherIncomeMonth).</t>
        </is>
      </c>
      <c r="D19" s="3" t="inlineStr">
        <is>
          <t>bonusAnnual + bonusMonth, rsuGrants[].date, benefitMonths, otherAmount + otherMonth + NET-NEW real date, salaryByMonth</t>
        </is>
      </c>
      <c r="E19" s="3" t="inlineStr">
        <is>
          <t>PIN (new, v1.1): the canonical grid and every surface place one-time and lumpy income in the SAME month — one placement test walks bonus/vesting/one-time across Home, Cash flow, Budget, and Plan.</t>
        </is>
      </c>
    </row>
    <row r="20" ht="46" customHeight="1">
      <c r="A20" s="3" t="inlineStr">
        <is>
          <t xml:space="preserve">   Future paycheck projection card</t>
        </is>
      </c>
      <c r="B20" s="3" t="inlineStr">
        <is>
          <t>'Your future paycheck — PROJECTION, an estimate, not a promise. At 67: ~$6,100 a month (Social Security ~$2,900 + safe draw ~$3,200).'</t>
        </is>
      </c>
      <c r="C20" s="3" t="inlineStr">
        <is>
          <t>NET-NEW: F5 paycheck engine run in projection mode — guaranteed income from the Plan's future Social Security/pension entries (the ri_* fields that currentRetirementIncomeMonthly deliberately keeps OUT of today's cash flow, src/domain/income/onboarding.ts), safe draw solved on the simulation's projected balance at retirement (simulate().projected_at_retirement, src/domain/retirement/index.ts).</t>
        </is>
      </c>
      <c r="D20" s="3" t="inlineStr">
        <is>
          <t>ri_* (future entries), retire age, projected_at_retirement</t>
        </is>
      </c>
      <c r="E20" s="3" t="inlineStr">
        <is>
          <t>PIN: this card's numbers = the Plan tab's retirement-paycheck numbers, because both are one F5 projection run; the 'estimate' label is mandatory copy, not a style choice.</t>
        </is>
      </c>
    </row>
    <row r="21" ht="46" customHeight="1">
      <c r="A21" s="3" t="inlineStr">
        <is>
          <t xml:space="preserve">   Will-it-last strip</t>
        </is>
      </c>
      <c r="B21" s="3" t="inlineStr">
        <is>
          <t>'Will my money last? Likely — 84% (estimate)' linking to Plan.</t>
        </is>
      </c>
      <c r="C21" s="3" t="inlineStr">
        <is>
          <t>EXISTING: simulate() chance_of_success, src/domain/retirement/index.ts. Plan is the canonical home.</t>
        </is>
      </c>
      <c r="D21" s="3" t="inlineStr">
        <is>
          <t>chance_of_success</t>
        </is>
      </c>
      <c r="E21" s="3" t="inlineStr">
        <is>
          <t>PIN: identical percentage as Plan (same seeded run).</t>
        </is>
      </c>
    </row>
    <row r="22" ht="46" customHeight="1">
      <c r="A22" s="3" t="inlineStr">
        <is>
          <t xml:space="preserve">   Plan commitments line (working lens)</t>
        </is>
      </c>
      <c r="B22" s="3" t="inlineStr">
        <is>
          <t>Once a multi-goal plan is adopted, each commitment appears as a named line ('Parents $2,000/mo · from your Plan') and the surplus line becomes 'Free to spend AFTER your plan' — the month never silently overstates free money.</t>
        </is>
      </c>
      <c r="C22" s="3" t="inlineStr">
        <is>
          <t>NET-NEW: reads commitments[] from the F11 shared assumptions (the adoption patch); subtracted after bills+debt in the displayed free-to-spend.</t>
        </is>
      </c>
      <c r="D22" s="3" t="inlineStr">
        <is>
          <t>commitments[] {label, monthlyAmount}</t>
        </is>
      </c>
      <c r="E22" s="3" t="inlineStr">
        <is>
          <t>PIN: the composer's 'shortfall here can never coexist with a surplus on Cash flow' — now satisfiable on THIS lens: adopted commitments visibly reduce free-to-spend (the walkthrough's trust-breaker).</t>
        </is>
      </c>
    </row>
    <row r="23" ht="84" customHeight="1">
      <c r="A23" s="2" t="inlineStr">
        <is>
          <t xml:space="preserve">   STATES</t>
        </is>
      </c>
      <c r="B23" s="3" t="inlineStr">
        <is>
          <t>• No income captured (empty): In/out card collapses to a friendly setup prompt ('Tell us what you earn and we will map your year'); bars render as gray placeholders with dated labels so the shape of the promise is visible.
• Pre-retirement projection: The future-paycheck card ALWAYS carries the 'PROJECTION — an estimate, not a promise' label; if retirement inputs are missing it shows a 'finish your Plan to see this' link instead of guessing.
• Hidden balances: Dollars masked; surplus sign still shown as the word 'ahead' or 'behind' with an icon.
• Stale balances: Same calm 'as of' banner as the retired lens; the spent-so-far line notes the last transaction date it knows about.
• Deficit month: A month where spending exceeds take-home shows a minus surplus with a word flag and one plain sentence ('March take-home dips because of the insurance bill — your bonus month covers it').
• After adopting commitments: The commitments block lists each adopted goal; 'Surplus' is relabeled 'Free to spend after your plan' with the subtraction visible. Removing the plan (revert) restores the plain surplus.</t>
        </is>
      </c>
      <c r="C23" s="4" t="n"/>
      <c r="D23" s="4" t="n"/>
      <c r="E23" s="4" t="n"/>
    </row>
    <row r="25" ht="46" customHeight="1">
      <c r="A25" s="5" t="inlineStr">
        <is>
          <t>▶ Month detail  ·  lens: Both (retired example shown)</t>
        </is>
      </c>
      <c r="B25" s="6" t="inlineStr">
        <is>
          <t>Tap any bar and see exactly why that month looks the way it does: each income item on its real date, the big dated bills that land that month, the safe draw, and the resulting safe-to-spend. The month is fully dated (November 2026, not just 'Nov'), and the rows sum — visibly — to the number on the bar.</t>
        </is>
      </c>
      <c r="C25" s="7" t="n"/>
      <c r="D25" s="7" t="n"/>
      <c r="E25" s="7" t="n"/>
      <c r="F25" s="7" t="n"/>
      <c r="G25" s="7" t="n"/>
    </row>
    <row r="26" ht="312.5" customHeight="1">
      <c r="A26" s="8" t="inlineStr">
        <is>
          <t>WIREFRAME</t>
        </is>
      </c>
      <c r="B26" s="9" t="inlineStr">
        <is>
          <t>+------------------------------+
| &lt; Cash flow    November 2026 |
|                              |
| Safe to spend       $3,940   |
|  lower than usual - property |
|  tax lands this month        |
|                              |
| Money in                     |
|  Social Security 3rd  $2,600 |
|  Pension         1st  $1,600 |
|  Safe draw            $1,640 |
|  = In               $5,840   |
|                              |
| Big bills this month         |
|  Property tax Nov 15 -$1,900 |
|  = Safe to spend    $3,940   |
|                              |
| Regular bills (come out of   |
| your safe-to-spend)          |
|  Mortgage      1st    $1,240 |
|  Car insurance 20th     $310 |
|                              |
| Estimates - these move with  |
| your live account balances.  |
+------------------------------+</t>
        </is>
      </c>
      <c r="C26" s="3" t="inlineStr">
        <is>
          <t>BUILD NOTE:
Net-new screen, but it is a pure renderer over one F2/F5 cell — no math of its own. Cheapest correct build: pass the cell object in and forbid any recomputation in the component (mirrors the one-concept-one-helper rule).</t>
        </is>
      </c>
      <c r="D26" s="3" t="inlineStr">
        <is>
          <t>INTERACTIONS:
Swipe left/right → previous/next dated month (stops at the 12-month window edges, with 'beyond the window' explained in words). Tap a bill row → edit that bill (Bill calendar's editor). Tap safe draw → the draw-order steer sheet. Back → returns to the main screen scrolled to the same bar.</t>
        </is>
      </c>
      <c r="E26" s="3" t="inlineStr">
        <is>
          <t>ACCESSIBILITY:
The screen reads top-to-bottom as a sentence: month, headline, why, then rows. Each row announces name, date in full ('November fifteenth'), and amount. Plus/minus announced as 'in'/'out'.</t>
        </is>
      </c>
    </row>
    <row r="27" ht="46" customHeight="1">
      <c r="A27" s="3" t="inlineStr">
        <is>
          <t xml:space="preserve">   Dated month title</t>
        </is>
      </c>
      <c r="B27" s="3" t="inlineStr">
        <is>
          <t>'November 2026' — full month and year, from the tapped F2 cell.</t>
        </is>
      </c>
      <c r="C27" s="3" t="inlineStr">
        <is>
          <t>F2 canonical grid cell (promoted cashflowYear, src/domain/cashflow/index.ts — its label logic already appends the year across the wrap).</t>
        </is>
      </c>
      <c r="D27" s="3" t="inlineStr">
        <is>
          <t>cell.calendarMonth, cell.year</t>
        </is>
      </c>
      <c r="E27" s="3" t="inlineStr">
        <is>
          <t>PIN: title matches the tapped bar's label exactly.</t>
        </is>
      </c>
    </row>
    <row r="28" ht="46" customHeight="1">
      <c r="A28" s="3" t="inlineStr">
        <is>
          <t xml:space="preserve">   Safe to spend headline + reason line</t>
        </is>
      </c>
      <c r="B28" s="3" t="inlineStr">
        <is>
          <t>$3,940 with one plain sentence for unusual months ('lower than usual — property tax lands this month').</t>
        </is>
      </c>
      <c r="C28" s="3" t="inlineStr">
        <is>
          <t>NET-NEW: F5 paycheck engine — this is the same cell's netSafeToSpend the bar and (for the current month) the hero show; the reason line names the largest dated bill in the cell.</t>
        </is>
      </c>
      <c r="D28" s="3" t="inlineStr">
        <is>
          <t>F5 cell.netSafeToSpend, cell.bills[] (largest)</t>
        </is>
      </c>
      <c r="E28" s="3" t="inlineStr">
        <is>
          <t>PIN: headline = bar = hero (when current month); the agreement test sums the visible rows and must reproduce it.</t>
        </is>
      </c>
    </row>
    <row r="29" ht="46" customHeight="1">
      <c r="A29" s="3" t="inlineStr">
        <is>
          <t xml:space="preserve">   Money-in list with real dates</t>
        </is>
      </c>
      <c r="B29" s="3" t="inlineStr">
        <is>
          <t>'Social Security · 3rd · $2,600', 'Pension · 1st · $1,600', 'Safe draw · $1,640' (retired) or salary/bonus/vesting rows (working). Day shown when known; plain month otherwise — no invented dates.</t>
        </is>
      </c>
      <c r="C29" s="3" t="inlineStr">
        <is>
          <t>EXISTING amounts: retirementIncomeMonthly per-source fields (src/domain/income/onboarding.ts) / salaryGrossByMonth, bonusMonth, rsuGrants vest dates (same file). NET-NEW: per-source pay-day field (optional) and F5's per-month placement.</t>
        </is>
      </c>
      <c r="D29" s="3" t="inlineStr">
        <is>
          <t>ri_* + ri_*_freq + NET-NEW ri_*_day, salaryByMonth, bonusMonth, rsuGrants[].date</t>
        </is>
      </c>
      <c r="E29" s="3" t="inlineStr">
        <is>
          <t>PIN: per-source amounts equal the named lines on the main screen's guaranteed decomposition.</t>
        </is>
      </c>
    </row>
    <row r="30" ht="46" customHeight="1">
      <c r="A30" s="3" t="inlineStr">
        <is>
          <t xml:space="preserve">   Big bills list (dated)</t>
        </is>
      </c>
      <c r="B30" s="3" t="inlineStr">
        <is>
          <t>'Property tax · Nov 15 · −$1,900' — the dated non-monthly bills that reduce this month's safe-to-spend.</t>
        </is>
      </c>
      <c r="C30" s="3" t="inlineStr">
        <is>
          <t>EXISTING: non-monthly spending categories in their months (spendByMonth, src/domain/budget/index.ts) with day-level dates from upcomingBills (src/domain/cashflow/index.ts: dueDate built from months + dueDay).</t>
        </is>
      </c>
      <c r="D30" s="3" t="inlineStr">
        <is>
          <t>spendCats months/dueDay/amount, NET-NEW year on one-off bills</t>
        </is>
      </c>
      <c r="E30" s="3" t="inlineStr">
        <is>
          <t>PIN: identical bill rows (label, date, amount) as the Bill calendar's 'Coming up' for this month.</t>
        </is>
      </c>
    </row>
    <row r="31" ht="46" customHeight="1">
      <c r="A31" s="3" t="inlineStr">
        <is>
          <t xml:space="preserve">   Regular bills list</t>
        </is>
      </c>
      <c r="B31" s="3" t="inlineStr">
        <is>
          <t>'Mortgage · 1st · $1,240', 'Car insurance · 20th · $310' — the everyday bills the safe-to-spend envelope pays for, listed for completeness but NOT subtracted twice.</t>
        </is>
      </c>
      <c r="C31" s="3" t="inlineStr">
        <is>
          <t>EXISTING: monthly spending categories (spendBuckets/spendByMonth, src/domain/budget/index.ts) and debt payments (requiredPayment + due_day, src/domain/debt/index.ts). A deferred debt appears here only from its NET-NEW first_payment_date onward.</t>
        </is>
      </c>
      <c r="D31" s="3" t="inlineStr">
        <is>
          <t>spendCats monthly bucket, Debt.due_day, Debt.monthly_payment, NET-NEW Debt.first_payment_date</t>
        </is>
      </c>
      <c r="E31" s="3" t="inlineStr">
        <is>
          <t>PIN: a deferred debt shows in NO month before its first payment date, on any surface (grid, calendar, this list) — one test walks all three.</t>
        </is>
      </c>
    </row>
    <row r="32" ht="70" customHeight="1">
      <c r="A32" s="2" t="inlineStr">
        <is>
          <t xml:space="preserve">   STATES</t>
        </is>
      </c>
      <c r="B32" s="3" t="inlineStr">
        <is>
          <t>• Current month: Adds a 'so far' line using actual transactions (budgetVsActual) under the regular-bills list; headline notes 'as of today'.
• Quiet month (no dated bills): Big-bills section shows 'No big bills this month' in words — the section never silently disappears, so absence is information.
• Negative month: Headline shows the minus with a word+icon flag and the sentence explains the covering plan ('your December pension lump refills this').
• Hidden balances: Amounts masked; dates and labels remain.
• Stale balances: Footer swaps to 'as of &lt;date&gt; — refresh your accounts to update these'.</t>
        </is>
      </c>
      <c r="C32" s="4" t="n"/>
      <c r="D32" s="4" t="n"/>
      <c r="E32" s="4" t="n"/>
    </row>
    <row r="34" ht="46" customHeight="1">
      <c r="A34" s="5" t="inlineStr">
        <is>
          <t>▶ Bill calendar v2  ·  lens: Both</t>
        </is>
      </c>
      <c r="B34" s="6" t="inlineStr">
        <is>
          <t>The same 12 dated months as everywhere else, viewed as a running-balance table: money in, money out, and what is left at the end of each month, starting from real cash on hand. Big bills get day-level treatment ('will the money be there two days before it is due?'). This is where dated bills are added and edited, and where a deferred loan visibly starts paying in its real first month.</t>
        </is>
      </c>
      <c r="C34" s="7" t="n"/>
      <c r="D34" s="7" t="n"/>
      <c r="E34" s="7" t="n"/>
      <c r="F34" s="7" t="n"/>
      <c r="G34" s="7" t="n"/>
    </row>
    <row r="35" ht="400" customHeight="1">
      <c r="A35" s="8" t="inlineStr">
        <is>
          <t>WIREFRAME</t>
        </is>
      </c>
      <c r="B35" s="9" t="inlineStr">
        <is>
          <t>+------------------------------+
| Bill calendar                |
|  July 2026 - June 2027       |
|                              |
| Cash on hand now  $18,400    |
|  from your accounts   |
|  (edit)                      |
|                              |
| OK  You stay above zero in   |
| all 12 months. Lowest point  |
| $18,400 — today.             |
|                              |
| Month    In     Out    End   |
| Jul 26  5,840  4,210 20,030  |
| Aug 26  5,840  4,210 21,660  |
| ...                          |
| Nov 26  5,840  6,110 24,650  |
| Dec 26  9,240  4,210 29,680  |
| Jan 27  5,840  4,210 31,310  |
| ...                          |
| Jun 27  5,840  4,210 39,460  |
|                              |
| Coming up                    |
|  Property tax $1,900 due     |
|  Nov 15, 2026 - covered:     |
|  ~$24,900 there by Nov 13     |
|                              |
|  Car loan (new) - first      |
|  payment Mar 1, 2027, $385   |
|                              |
| [ + Add a dated bill ]       |
+------------------------------+</t>
        </is>
      </c>
      <c r="C35" s="3" t="inlineStr">
        <is>
          <t>BUILD NOTE:
Smallest lift of the tab: BillCalendarScreen.tsx already renders cashflowYear + upcomingBills + cashTotal. Work = point it at F2 (which IS cashflowYear promoted), add the year field on one-off bills, add the deferred-debt field + payoffPlan change, and retire its student-era wording (scholarships/loan-disbursement copy stays in code paths but out of this audience's UI).</t>
        </is>
      </c>
      <c r="D35" s="3" t="inlineStr">
        <is>
          <t>INTERACTIONS:
Tap a row → Month detail for that dated month. Tap a coming-up bill → edit it. 'Add a dated bill' → the form above. Editing cash on hand re-chains all 12 End balances immediately.</t>
        </is>
      </c>
      <c r="E35" s="3" t="inlineStr">
        <is>
          <t>ACCESSIBILITY:
Table rows read as full sentences ('November 2026: in five thousand eight hundred forty, out seven thousand seven hundred fifty, ending balance two thousand one hundred — short-risk flagged'). '!' always paired with the word 'short'. Form fields have full labels and date pickers, not free text.</t>
        </is>
      </c>
    </row>
    <row r="36" ht="46" customHeight="1">
      <c r="A36" s="3" t="inlineStr">
        <is>
          <t xml:space="preserve">   Window title</t>
        </is>
      </c>
      <c r="B36" s="3" t="inlineStr">
        <is>
          <t>'July 2026 – June 2027' — states the dated window outright.</t>
        </is>
      </c>
      <c r="C36" s="3" t="inlineStr">
        <is>
          <t>F2 canonical grid anchor (promoted cashflowYear, src/domain/cashflow/index.ts).</t>
        </is>
      </c>
      <c r="D36" s="3" t="inlineStr">
        <is>
          <t>anchor month/year</t>
        </is>
      </c>
      <c r="E36" s="3" t="inlineStr">
        <is>
          <t>PIN: same window as the Cash flow bars.</t>
        </is>
      </c>
    </row>
    <row r="37" ht="46" customHeight="1">
      <c r="A37" s="3" t="inlineStr">
        <is>
          <t xml:space="preserve">   Cash on hand</t>
        </is>
      </c>
      <c r="B37" s="3" t="inlineStr">
        <is>
          <t>$18,400 auto-filled from linked accounts, editable — the starting balance the table carries forward.</t>
        </is>
      </c>
      <c r="C37" s="3" t="inlineStr">
        <is>
          <t>EXISTING: cashTotal(accounts) in src/domain/assets (already how BillCalendarScreen.tsx seeds its input), with the manual-edit affordance kept.</t>
        </is>
      </c>
      <c r="D37" s="3" t="inlineStr">
        <is>
          <t>asset accounts, tax_bucket cash</t>
        </is>
      </c>
      <c r="E37" s="3" t="inlineStr">
        <is>
          <t>PIN: equals the cash figure Net worth shows for the same accounts.</t>
        </is>
      </c>
    </row>
    <row r="38" ht="46" customHeight="1">
      <c r="A38" s="3" t="inlineStr">
        <is>
          <t xml:space="preserve">   Verdict line</t>
        </is>
      </c>
      <c r="B38" s="3" t="inlineStr">
        <is>
          <t>'OK — you stay above zero in all 12 months; lowest point $18,400 (today)' or 'Careful — short in Nov 2026 and Jan 2027', always with the dated month named.</t>
        </is>
      </c>
      <c r="C38" s="3" t="inlineStr">
        <is>
          <t>EXISTING: cashflowYear's shortMonths and lowestBalance (src/domain/cashflow/index.ts), carried into F2.</t>
        </is>
      </c>
      <c r="D38" s="3" t="inlineStr">
        <is>
          <t>cell.runningBalance, shortMonths, lowestBalance</t>
        </is>
      </c>
      <c r="E38" s="3" t="inlineStr">
        <is>
          <t>PIN: the flagged months match the '!' flags on the Cash flow bars.</t>
        </is>
      </c>
    </row>
    <row r="39" ht="46" customHeight="1">
      <c r="A39" s="3" t="inlineStr">
        <is>
          <t xml:space="preserve">   12-row dated table (In / Out / End)</t>
        </is>
      </c>
      <c r="B39" s="3" t="inlineStr">
        <is>
          <t>One row per dated month, Jul 26 → Jun 27, with inflow, outflow, and end-of-month balance; short months flagged with '!' plus a word.</t>
        </is>
      </c>
      <c r="C39" s="3" t="inlineStr">
        <is>
          <t>EXISTING: cashflowYear already returns exactly this shape ({label, inflow, outflow, net, balance} × 12 with year-wrap labels); it is promoted to F2 and re-read here.</t>
        </is>
      </c>
      <c r="D39" s="3" t="inlineStr">
        <is>
          <t>F2 cells</t>
        </is>
      </c>
      <c r="E39" s="3" t="inlineStr">
        <is>
          <t>PIN: row In/Out = the Cash flow bar's in/out for the same cell; End chains exactly (previous End + In − Out).</t>
        </is>
      </c>
    </row>
    <row r="40" ht="46" customHeight="1">
      <c r="A40" s="3" t="inlineStr">
        <is>
          <t xml:space="preserve">   Coming up (day-level big bills)</t>
        </is>
      </c>
      <c r="B40" s="3" t="inlineStr">
        <is>
          <t>'Property tax $1,900 due Nov 15, 2026 — covered: about $24,900 there by Nov 13' or, when short, how much to set aside and by when.</t>
        </is>
      </c>
      <c r="C40" s="3" t="inlineStr">
        <is>
          <t>EXISTING: upcomingBills in src/domain/cashflow/index.ts (dueDate, needByDate two days before, askByDate, availableByNeed, shortfall). Copy re-aimed at 55-70: the cover source reads 'your savings or a backup', not a family ask.</t>
        </is>
      </c>
      <c r="D40" s="3" t="inlineStr">
        <is>
          <t>UpcomingBill: dueDate, needByDate, askByDate, shortfall, availableByNeed</t>
        </is>
      </c>
      <c r="E40" s="3" t="inlineStr">
        <is>
          <t>PIN: each bill's amount and date match its row in Month detail and its month's Out on the table.</t>
        </is>
      </c>
    </row>
    <row r="41" ht="46" customHeight="1">
      <c r="A41" s="3" t="inlineStr">
        <is>
          <t xml:space="preserve">   Add / edit a dated bill</t>
        </is>
      </c>
      <c r="B41" s="3" t="inlineStr">
        <is>
          <t>A small form: name, amount, due date (day, month, AND year for one-offs), repeats-yearly toggle, essential-or-flexible.</t>
        </is>
      </c>
      <c r="C41" s="3" t="inlineStr">
        <is>
          <t>EXISTING storage: writes a non-monthly spending category (spendCats: amount, months, dueDay, tier — src/domain/budget/index.ts consumes it). NET-NEW: a year field on one-off bills; the grid can already place month+year via slotForMY (cashflowYear, src/domain/cashflow/index.ts), which today only scholarship/loan items use.</t>
        </is>
      </c>
      <c r="D41" s="3" t="inlineStr">
        <is>
          <t>spendCats: label, amount, months[], dueDay, tier, NET-NEW year</t>
        </is>
      </c>
      <c r="E41" s="3" t="inlineStr">
        <is>
          <t>PIN: saving a bill updates the F2 cells once, and the table, bars, hero, and month detail all move together — one recompute event.</t>
        </is>
      </c>
    </row>
    <row r="42" ht="46" customHeight="1">
      <c r="A42" s="3" t="inlineStr">
        <is>
          <t xml:space="preserve">   Deferred debt row</t>
        </is>
      </c>
      <c r="B42" s="3" t="inlineStr">
        <is>
          <t>'Car loan (new) — first payment Mar 1, 2027, $385/month' — visible now, but Out rows before Mar 27 show no payment for it.</t>
        </is>
      </c>
      <c r="C42" s="3" t="inlineStr">
        <is>
          <t>NET-NEW FIELD: Debt.first_payment_date (src/domain/debt/index.ts — the Debt record has due_day and payoff_date today, but payoffPlan starts every debt's payments at month 1 = now, and the grid has no way to start a payment later). F5/F2 place requiredPayment monthly from max(today, first_payment_date); payoffPlan's loop starts this debt's payments at that month while interest still accrues from now.</t>
        </is>
      </c>
      <c r="D42" s="3" t="inlineStr">
        <is>
          <t>Debt.first_payment_date (NET-NEW), due_day, monthly_payment, minimum_monthly_payment, interest_rate_apr</t>
        </is>
      </c>
      <c r="E42" s="3" t="inlineStr">
        <is>
          <t>PIN (new, v1.1): no surface shows a payment for a deferred debt before its first payment date, and the payoff plan's debt-free date reflects the deferral — one test covers grid, calendar, month detail, and payoff math.</t>
        </is>
      </c>
    </row>
    <row r="43" ht="70" customHeight="1">
      <c r="A43" s="2" t="inlineStr">
        <is>
          <t xml:space="preserve">   STATES</t>
        </is>
      </c>
      <c r="B43" s="3" t="inlineStr">
        <is>
          <t>• Setup incomplete (empty): Keeps the existing gate: explains the calendar is built from income timing + bills, offers 'Finish my setup' (BillCalendarScreen.tsx already does this).
• Short months present: Verdict flips to 'Careful' with the dated months named; short rows get '!' + the word 'short'; the biggest cause is named in one sentence.
• Bill beyond the window: A bill dated past Jun 2027 is listed under 'Later' with its full date rather than silently dropped (cashflowYear's beyondWindow counter already detects this).
• Hidden balances: In/Out/End masked; verdict keeps its words ('you stay above zero') since that is a judgment, not a balance.
• Stale balances: Cash-on-hand line shows 'as of &lt;date&gt;' and the verdict adds 'based on balances from &lt;date&gt;'.</t>
        </is>
      </c>
      <c r="C43" s="4" t="n"/>
      <c r="D43" s="4" t="n"/>
      <c r="E43" s="4" t="n"/>
    </row>
    <row r="45" ht="46" customHeight="1">
      <c r="A45" s="5" t="inlineStr">
        <is>
          <t>▶ Draw-order steer sheet  ·  lens: Retired (working sees it in projection mode)</t>
        </is>
      </c>
      <c r="B45" s="6" t="inlineStr">
        <is>
          <t>The 'steer it' module: shows the order the math would tap the four kinds of accounts (cash, taxable, pre-tax, Roth), each with its live balance; lets the user reorder and re-run to see how the will-it-last answer and the lasts-to age move; explains WHY why the math orders it that way, in plain words. Guide, never advise: the suggested order is a starting point the user can overrule, and the required-by-law withdrawal after age 73 is pinned and explained, not negotiable.</t>
        </is>
      </c>
      <c r="C45" s="7" t="n"/>
      <c r="D45" s="7" t="n"/>
      <c r="E45" s="7" t="n"/>
      <c r="F45" s="7" t="n"/>
      <c r="G45" s="7" t="n"/>
    </row>
    <row r="46" ht="325" customHeight="1">
      <c r="A46" s="8" t="inlineStr">
        <is>
          <t>WIREFRAME</t>
        </is>
      </c>
      <c r="B46" s="9" t="inlineStr">
        <is>
          <t>+------------------------------+
| Where the draw comes from    |
|  This is the order the math  |
|  taps your accounts - a      |
|  starting point — you decide.   |
|                              |
|  1  Cash       $38,000  ^ v  |
|  2  Taxable   $210,000  ^ v  |
|  3  Pre-tax   $415,000  ^ v  |
|  4  Roth       $88,000  ^ v  |
|                              |
|  From age 73 the law makes   |
|  you take a required amount  |
|  from pre-tax first. That    |
|  step always stays on top.   |
|                              |
|  Why this order?  &gt;          |
|                              |
|  With your order:            |
|   Will my money last   84% -&gt; 82%  |
|   Lasts to age    92 -&gt; 90   |
|   (estimates)                |
|                              |
| [ Re-run with my order ]     |
| [ Reset to the math's order ]       |
+------------------------------+</t>
        </is>
      </c>
      <c r="C46" s="3" t="inlineStr">
        <is>
          <t>BUILD NOTE:
The order model, the required-withdrawal pin, and every why sentence already exist in src/domain/decumulation/index.ts — this sheet is mostly UI plus two net-new pieces: a stored user draw-order preference and the F5 re-run wrapper that feeds it into the existing simulation and depletion helpers.</t>
        </is>
      </c>
      <c r="D46" s="3" t="inlineStr">
        <is>
          <t>INTERACTIONS:
Drag or tap up/down arrows to reorder (except the pinned step). 'Why this order?' → explainer sheet. 'Re-run with my order' → comparison updates in place, then 'Keep this order' saves. 'Reset to the math's order' → previews the default before saving. Closing without saving changes nothing.</t>
        </is>
      </c>
      <c r="E46" s="3" t="inlineStr">
        <is>
          <t>ACCESSIBILITY:
Reordering works via buttons (not drag-only). Each bucket announces name, balance, and position ('Pre-tax, four hundred fifteen thousand dollars, third of four — move up, move down'). The before/after comparison is read as a sentence, arrows never carry the meaning alone.</t>
        </is>
      </c>
    </row>
    <row r="47" ht="46" customHeight="1">
      <c r="A47" s="3" t="inlineStr">
        <is>
          <t xml:space="preserve">   Bucket list with balances</t>
        </is>
      </c>
      <c r="B47" s="3" t="inlineStr">
        <is>
          <t>Cash $38,000 / Taxable $210,000 / Pre-tax $415,000 / Roth $88,000, numbered in draw order, with up/down reorder controls.</t>
        </is>
      </c>
      <c r="C47" s="3" t="inlineStr">
        <is>
          <t>EXISTING: taxBucketSplit(accounts) in src/domain/decumulation/index.ts (retirement-earmarked portion via earmarkedAmount, src/domain/assets); suggested order + per-step balances from withdrawalOrder(split, age) (same file).</t>
        </is>
      </c>
      <c r="D47" s="3" t="inlineStr">
        <is>
          <t>AssetAccount.tax_bucket, earmark, age</t>
        </is>
      </c>
      <c r="E47" s="3" t="inlineStr">
        <is>
          <t>PIN: the four balances sum to the nest egg behind the safe draw and match Net worth's grouping of the same accounts.</t>
        </is>
      </c>
    </row>
    <row r="48" ht="46" customHeight="1">
      <c r="A48" s="3" t="inlineStr">
        <is>
          <t xml:space="preserve">   Pinned required-withdrawal step (age 73+)</t>
        </is>
      </c>
      <c r="B48" s="3" t="inlineStr">
        <is>
          <t>For users 73 or older, step 1 becomes 'Required withdrawal — first: $15,660' with the sentence that the law makes you take this from pre-tax accounts whether you need it or not; it cannot be reordered.</t>
        </is>
      </c>
      <c r="C48" s="3" t="inlineStr">
        <is>
          <t>EXISTING: withdrawalOrder already injects this step using RMD_START_AGE (73) and rmdAtAge(preTax, age) with the Uniform Lifetime Table divisors (src/domain/decumulation/index.ts).</t>
        </is>
      </c>
      <c r="D48" s="3" t="inlineStr">
        <is>
          <t>age, preTax balance, rmdDivisor</t>
        </is>
      </c>
      <c r="E48" s="3" t="inlineStr">
        <is>
          <t>PIN: the required amount here = the required-withdrawal figure shown in Plan's retirement section (same helper, same balance).</t>
        </is>
      </c>
    </row>
    <row r="49" ht="46" customHeight="1">
      <c r="A49" s="3" t="inlineStr">
        <is>
          <t xml:space="preserve">   Why explainer</t>
        </is>
      </c>
      <c r="B49" s="3" t="inlineStr">
        <is>
          <t>One plain sentence per bucket ('Cash first — it earns the least, so it goes first, before inflation eats it', 'Roth last — tax-free growth, so let it run'), shown in a tap-through sheet.</t>
        </is>
      </c>
      <c r="C49" s="3" t="inlineStr">
        <is>
          <t>EXISTING: the why strings are already authored on each OrderStep in withdrawalOrder (src/domain/decumulation/index.ts) — reuse verbatim, they are already plain English.</t>
        </is>
      </c>
      <c r="D49" s="3" t="inlineStr">
        <is>
          <t>OrderStep.why</t>
        </is>
      </c>
      <c r="E49" s="3" t="inlineStr">
        <is>
          <t>PIN: identical wording wherever the order is explained (main-screen preview and this sheet render the same strings).</t>
        </is>
      </c>
    </row>
    <row r="50" ht="46" customHeight="1">
      <c r="A50" s="3" t="inlineStr">
        <is>
          <t xml:space="preserve">   Re-run comparison</t>
        </is>
      </c>
      <c r="B50" s="3" t="inlineStr">
        <is>
          <t>'With your order: Will my money last 84% → 82%, lasts to age 92 → 90 (estimates)' — suggested versus user order, side by side, before committing.</t>
        </is>
      </c>
      <c r="C50" s="3" t="inlineStr">
        <is>
          <t>NET-NEW: F5 re-run wrapper. Under the hood it re-runs EXISTING math with order-aware tax drag: withdrawalPlan + depletionAge (src/domain/decumulation/index.ts) for the lasts-to age, simulate() (src/domain/retirement/index.ts) for the percentage. Honesty rule: if a reorder changes taxes too little to move the answer, say 'about the same' rather than inventing precision.</t>
        </is>
      </c>
      <c r="D50" s="3" t="inlineStr">
        <is>
          <t>user draw_order (NET-NEW stored preference), simulate inputs, depletionAge inputs</t>
        </is>
      </c>
      <c r="E50" s="3" t="inlineStr">
        <is>
          <t>PIN: after 'Re-run with my order' is saved, the main screen's preview, the safe draw derivation, and Plan all read the same stored order — one preference, no forks.</t>
        </is>
      </c>
    </row>
    <row r="51" ht="46" customHeight="1">
      <c r="A51" s="3" t="inlineStr">
        <is>
          <t xml:space="preserve">   Reset to the math's order</t>
        </is>
      </c>
      <c r="B51" s="3" t="inlineStr">
        <is>
          <t>One tap back to the math's order, with the change previewed the same way.</t>
        </is>
      </c>
      <c r="C51" s="3" t="inlineStr">
        <is>
          <t>EXISTING default: withdrawalOrder's base order (cash → taxable → pre-tax → Roth).</t>
        </is>
      </c>
      <c r="D51" s="3" t="inlineStr">
        <is>
          <t>draw_order preference cleared</t>
        </is>
      </c>
      <c r="E51" s="3" t="inlineStr">
        <is>
          <t>PIN: reset makes the preview identical to a fresh install's suggestion.</t>
        </is>
      </c>
    </row>
    <row r="52" ht="70" customHeight="1">
      <c r="A52" s="2" t="inlineStr">
        <is>
          <t xml:space="preserve">   STATES</t>
        </is>
      </c>
      <c r="B52" s="3" t="inlineStr">
        <is>
          <t>• Under 73: No pinned step; all four buckets are freely reorderable.
• 73 or older: Required-withdrawal step pinned on top with its legal explanation; the rest reorderable beneath it.
• Empty bucket: A $0 bucket is listed grayed with 'nothing here yet' (withdrawalOrder already filters empty buckets; the sheet shows them anyway so the model is teachable).
• Hidden balances: Balances masked; order, names, and the comparison percentages remain.
• Working user: Sheet opens in projection mode with a banner: 'This is how your future draw would work — a projection, not today's money.'</t>
        </is>
      </c>
      <c r="C52" s="4" t="n"/>
      <c r="D52" s="4" t="n"/>
      <c r="E52" s="4" t="n"/>
    </row>
    <row r="54" ht="46" customHeight="1">
      <c r="A54" s="5" t="inlineStr">
        <is>
          <t>▶ Your monthly income (Social Security · pension · annuity)  ·  lens: retired</t>
        </is>
      </c>
      <c r="B54" s="6" t="inlineStr">
        <is>
          <t>THE missing front door for the retired lens: where Social Security, pension and annuity amounts are typed in — two numbers a retiree knows by heart, 20 seconds, no bank login. Reached from the Home prompt ('Add your Social Security and pension'), from first-run when the user picks 'a retirement paycheck I can trust' + retired, from the Plan hub, and from the claim screen's already-receiving path. This screen is the source of the paycheck hero's guaranteed half.</t>
        </is>
      </c>
      <c r="C54" s="7" t="n"/>
      <c r="D54" s="7" t="n"/>
      <c r="E54" s="7" t="n"/>
      <c r="F54" s="7" t="n"/>
      <c r="G54" s="7" t="n"/>
    </row>
    <row r="55" ht="325" customHeight="1">
      <c r="A55" s="8" t="inlineStr">
        <is>
          <t>WIREFRAME</t>
        </is>
      </c>
      <c r="B55" s="9" t="inlineStr">
        <is>
          <t>+------------------------------+
| &lt; Back   Your monthly income |
|                              |
| The money that arrives no    |
| matter what markets do.      |
|                              |
| Social Security              |
|  I receive it   [yes] [not   |
|                       yet]   |
|  Each month   [$ 2,600    ]  |
|  Arrives on   [the 3rd  v ]  |
|                              |
| Pension                      |
|  Each month   [$ 1,600    ]  |
|  Paid        [monthly    v]  |
|  (or quarterly / once a      |
|   year, in [month])          |
|                              |
| Annuity or other             |
|  [ + Add another income ]    |
|                              |
| Your guaranteed income       |
|  $4,200 a month              |
|                              |
| [        Save             ]  |
+------------------------------+</t>
        </is>
      </c>
      <c r="C55" s="3" t="inlineStr">
        <is>
          <t>BUILD NOTE:
NET-NEW screen over EXISTING fields — closes the walkthrough's worst finding (guaranteed-income capture was undesigned; both old signposts led to wrong screens). The empty-Home 'Add something by hand … a pension' copy is corrected to route pensions HERE (income), not to the asset form (a pot).</t>
        </is>
      </c>
      <c r="D55" s="3" t="inlineStr">
        <is>
          <t>INTERACTIONS:
Home prompt 'Add your Social Security and pension' -&gt; HERE. First-run pick 'a retirement paycheck I can trust' + 'retired' -&gt; asks these two questions immediately after (before any connect talk). Plan hub 'your income' row -&gt; HERE. Claim screen 'Already receiving? enter what you get' -&gt; HERE. Save -&gt; back where she came from, hero updated.</t>
        </is>
      </c>
      <c r="E55" s="3" t="inlineStr">
        <is>
          <t>ACCESSIBILITY:
Number pads for amounts; every field labeled in full; the running total is announced on change. No time pressure, no required fields beyond one amount.</t>
        </is>
      </c>
    </row>
    <row r="56" ht="46" customHeight="1">
      <c r="A56" s="3" t="inlineStr">
        <is>
          <t xml:space="preserve">   Social Security block (receiving now vs not yet)</t>
        </is>
      </c>
      <c r="B56" s="3" t="inlineStr">
        <is>
          <t>'I receive it: yes / not yet' then the monthly amount and arrival day. 'Not yet' routes to the claim-timing decision instead of asking for an amount.</t>
        </is>
      </c>
      <c r="C56" s="3" t="inlineStr">
        <is>
          <t>EXISTING fields: ri_ss + frequency + the currentRetirementIncomeMonthly received-now gate (src/domain/income/onboarding.ts); NET-NEW: this dedicated screen (today capture lives only inside legacy onboarding). Day feeds the F5 dated placement (ri_*_day).</t>
        </is>
      </c>
      <c r="D56" s="3" t="inlineStr">
        <is>
          <t>ri_ss, ri_ss_freq, ri_ss_day, receiving flag</t>
        </is>
      </c>
      <c r="E56" s="3" t="inlineStr">
        <is>
          <t>PIN: the amount saved here IS the 'Social Security $2,600' line on Home, Cash flow and Month detail — one field, no copies (the B-31 pin).</t>
        </is>
      </c>
    </row>
    <row r="57" ht="46" customHeight="1">
      <c r="A57" s="3" t="inlineStr">
        <is>
          <t xml:space="preserve">   Pension block with real rhythm</t>
        </is>
      </c>
      <c r="B57" s="3" t="inlineStr">
        <is>
          <t>Monthly amount — or quarterly / once-a-year with the month it lands (a December pension lump shows up in December, not smeared).</t>
        </is>
      </c>
      <c r="C57" s="3" t="inlineStr">
        <is>
          <t>EXISTING fields ri_pension + freq; NET-NEW ri_pension_month for annual/quarterly placement (F5 requirement).</t>
        </is>
      </c>
      <c r="D57" s="3" t="inlineStr">
        <is>
          <t>ri_pension, ri_pension_freq, ri_pension_month</t>
        </is>
      </c>
      <c r="E57" s="3" t="inlineStr">
        <is>
          <t>PIN: placement here = the month the F5 grid shows the lump — one rhythm field drives both.</t>
        </is>
      </c>
    </row>
    <row r="58" ht="46" customHeight="1">
      <c r="A58" s="3" t="inlineStr">
        <is>
          <t xml:space="preserve">   Running guaranteed total</t>
        </is>
      </c>
      <c r="B58" s="3" t="inlineStr">
        <is>
          <t>'Your guaranteed income: $4,200 a month' updates as she types — instant payoff before she even saves.</t>
        </is>
      </c>
      <c r="C58" s="3" t="inlineStr">
        <is>
          <t>Sum of the fields above via retirementIncomeMonthly (src/domain/income/onboarding.ts).</t>
        </is>
      </c>
      <c r="D58" s="3" t="inlineStr">
        <is>
          <t>sum of ri_*</t>
        </is>
      </c>
      <c r="E58" s="3" t="inlineStr">
        <is>
          <t>PIN: equals the hero's 'Guaranteed' line the moment she lands back on Home.</t>
        </is>
      </c>
    </row>
    <row r="59" ht="42" customHeight="1">
      <c r="A59" s="2" t="inlineStr">
        <is>
          <t xml:space="preserve">   STATES</t>
        </is>
      </c>
      <c r="B59" s="3" t="inlineStr">
        <is>
          <t>• First entry (from Home prompt or first-run): Empty fields, example placeholders in gray; Save enabled once any amount is entered; Home hero updates immediately on save.
• Not receiving yet: Social Security flips to 'not yet' → amount hidden, one line: 'Deciding when to claim? Compare 62 / 67 / 70 in Plan' with the link.
• Hidden balances: Amounts mask; labels stay.</t>
        </is>
      </c>
      <c r="C59" s="4" t="n"/>
      <c r="D59" s="4" t="n"/>
      <c r="E59" s="4" t="n"/>
    </row>
    <row r="61" ht="42" customHeight="1">
      <c r="A61" s="5" t="inlineStr">
        <is>
          <t>▶ Quick-add expense (the + sheet)  ·  lens: both</t>
        </is>
      </c>
      <c r="B61" s="6" t="inlineStr">
        <is>
          <t>The missing day-to-day expense flow (M3/c30): ONE tap from the '+ Expense' button (bottom-right, Home + Cash flow — decided 2026-07-12) — amount, category chip, done. Feeds 'spent so far', budget actuals, and the month's spending story. Receipt scan (exists in the live app) as the shortcut. INCOME (c30): retirement income → Monthly income screen; salary/bonus → the income editor (Cash flow setup + Settings); one-off money in → this same sheet.</t>
        </is>
      </c>
      <c r="C61" s="7" t="n"/>
      <c r="D61" s="7" t="n"/>
      <c r="E61" s="7" t="n"/>
      <c r="F61" s="7" t="n"/>
      <c r="G61" s="7" t="n"/>
    </row>
    <row r="62" ht="270" customHeight="1">
      <c r="A62" s="8" t="inlineStr">
        <is>
          <t>WIREFRAME</t>
        </is>
      </c>
      <c r="B62" s="14" t="inlineStr">
        <is>
          <t>+------------------------------+
|            Add               |
|  [ Expense ]  (default)      |
|  [ A bill ] [ An account ]   |
|  [ Money in ]                |
|------------------------------|
| EXPENSE                      |
| Amount   [$ 64.20        ]   |
| For      [Groceries][Gas]    |
|          [Eating out][Home]  |
|          [Health][Fun][Other]|
| When     [Today          v]  |
| Note     [Trader Joe's  ](o) |
|  (o) = scan a receipt        |
|                              |
| [        Save             ]  |
|  (stays above the keyboard)  |
+------------------------------+</t>
        </is>
      </c>
      <c r="C62" s="3" t="n"/>
      <c r="D62" s="3" t="n"/>
      <c r="E62" s="3" t="n"/>
    </row>
    <row r="63" ht="64" customHeight="1">
      <c r="A63" s="3" t="inlineStr">
        <is>
          <t xml:space="preserve">   Amount + category chips</t>
        </is>
      </c>
      <c r="B63" s="3" t="inlineStr">
        <is>
          <t>Number pad first; one-tap category chips (the budget categories); date defaults to today; note optional; receipt scan shortcut.</t>
        </is>
      </c>
      <c r="C63" s="3" t="inlineStr">
        <is>
          <t>EXISTING: expenses[] + budget categories (budgetVsActual reads them); receipt OCR exists in the live app.</t>
        </is>
      </c>
      <c r="D63" s="3" t="inlineStr">
        <is>
          <t>expense {amount, category, date, note}</t>
        </is>
      </c>
      <c r="E63" s="3" t="inlineStr">
        <is>
          <t>PIN: saved expenses ARE the 'spent so far' number on Cash flow and Budget — one expenses store.</t>
        </is>
      </c>
    </row>
    <row r="64" ht="64" customHeight="1">
      <c r="A64" s="3" t="inlineStr">
        <is>
          <t xml:space="preserve">   Something-else link</t>
        </is>
      </c>
      <c r="B64" s="3" t="inlineStr">
        <is>
          <t>The button opens the EXPENSE form directly. A small 'Add something else' link at the top leads to: a bill (Bill calendar), an account (manual add screen), money in (one-off income). The common case costs zero extra taps; the rare cases stay one link away.</t>
        </is>
      </c>
      <c r="C64" s="3" t="inlineStr">
        <is>
          <t>Navigation to designed screens.</t>
        </is>
      </c>
      <c r="D64" s="3" t="inlineStr">
        <is>
          <t>none</t>
        </is>
      </c>
      <c r="E64" s="3" t="inlineStr">
        <is>
          <t>One quick-add sheet app-wide (the PROPOSED top-bar +).</t>
        </is>
      </c>
    </row>
    <row r="65" ht="64" customHeight="1">
      <c r="A65" s="3" t="inlineStr">
        <is>
          <t xml:space="preserve">   Keyboard-safe Save (M2)</t>
        </is>
      </c>
      <c r="B65" s="3" t="inlineStr">
        <is>
          <t>Save pinned above the keyboard; gate-checked.</t>
        </is>
      </c>
      <c r="C65" s="3" t="inlineStr">
        <is>
          <t>UX keyboard rule.</t>
        </is>
      </c>
      <c r="D65" s="3" t="inlineStr">
        <is>
          <t>none</t>
        </is>
      </c>
      <c r="E65" s="3" t="inlineStr">
        <is>
          <t>One rule on every input screen.</t>
        </is>
      </c>
    </row>
    <row r="66" ht="90" customHeight="1">
      <c r="A66" s="2" t="inlineStr">
        <is>
          <t xml:space="preserve">   STATES</t>
        </is>
      </c>
      <c r="B66" s="3" t="inlineStr">
        <is>
          <t>• Keyboard open: primary button always visible.
• Saved: toast 'Added — groceries $64.20'; sheet closes to where the user was; 'spent so far' updates immediately.
• Hidden balances: the amount field is live for typing; stored amounts elsewhere stay masked.
• BUILD: NET-NEW sheet over the EXISTING expenses store + categories + receipt OCR (M3).</t>
        </is>
      </c>
      <c r="C66" s="4" t="n"/>
      <c r="D66" s="4" t="n"/>
      <c r="E66" s="4" t="n"/>
    </row>
    <row r="67">
      <c r="A67" s="17" t="inlineStr">
        <is>
          <t>▶ v1.3 AMENDMENT — THE CASH FLOW SURFACE (founder-approved consolidation, 2026-07-19)</t>
        </is>
      </c>
      <c r="B67" s="4" t="inlineStr">
        <is>
          <t>ONE surface named "Cash flow" replaces the Cash-flow screen + the separate Budget screen (Activity/Budget/Debts) — the founder-identified duplication. Four sub-tabs: THIS MONTH · INCOME · SPENDING · DEBTS. Research: docs/FCC-core-55-70/money-ia-redesign-v1-2026-07-19.md. Mock (FINAL): mockups/final/cashflow-4tabs-FINAL-2026-07-19.html.</t>
        </is>
      </c>
      <c r="C67" s="4" t="inlineStr"/>
      <c r="D67" s="4" t="inlineStr"/>
      <c r="E67" s="4" t="inlineStr"/>
      <c r="F67" s="4" t="inlineStr">
        <is>
          <t>APPROVED 2026-07-19</t>
        </is>
      </c>
      <c r="G67" s="4" t="inlineStr"/>
    </row>
    <row r="68">
      <c r="A68" s="18" t="inlineStr">
        <is>
          <t xml:space="preserve">   Tab 1 · This month (default)</t>
        </is>
      </c>
      <c r="B68" s="4" t="inlineStr">
        <is>
          <t>The month glance: In − Out = Planned surplus, spending pace vs plan, the CATEGORY PLAN (absorbed from the old Budget tab; edit sheet with live In−Plan−Debt=Left-over math), 12 month bars, future-paycheck projection. Retiree lens keeps the paycheck-first hero.</t>
        </is>
      </c>
      <c r="C68" s="4" t="inlineStr">
        <is>
          <t>EXISTING: budgetVsActual / plannedMonthlySpend / buildDatedGrid — presentation consolidation, no new math</t>
        </is>
      </c>
      <c r="D68" s="4" t="inlineStr"/>
      <c r="E68" s="4" t="inlineStr">
        <is>
          <t>One engine feeds Home + here</t>
        </is>
      </c>
      <c r="F68" s="4" t="inlineStr"/>
      <c r="G68" s="4" t="inlineStr"/>
    </row>
    <row r="69">
      <c r="A69" s="18" t="inlineStr">
        <is>
          <t xml:space="preserve">   Tab 2 · Income</t>
        </is>
      </c>
      <c r="B69" s="4" t="inlineStr">
        <is>
          <t>Sources with amount+cadence; "＋ Add or set up income" opens the STEADY-OR-VARIES pop-up (approved): steady → one take-home amount → onboardingProfile.baseSalary (takehome/monthly); varies → typical month + tap-to-adjust 12-month grid → salaryByMonth (existing canonical). Received-this-month from the ledger. Teller connect door marked SOON.</t>
        </is>
      </c>
      <c r="C69" s="4" t="inlineStr">
        <is>
          <t>CANONICAL: baseSalary/salaryMode/salaryFreq · salaryByMonth</t>
        </is>
      </c>
      <c r="D69" s="4" t="inlineStr"/>
      <c r="E69" s="4" t="inlineStr">
        <is>
          <t>No duplicate fields</t>
        </is>
      </c>
      <c r="F69" s="4" t="inlineStr"/>
      <c r="G69" s="4" t="inlineStr"/>
    </row>
    <row r="70">
      <c r="A70" s="18" t="inlineStr">
        <is>
          <t xml:space="preserve">   Tab 3 · Spending</t>
        </is>
      </c>
      <c r="B70" s="4" t="inlineStr">
        <is>
          <t>Month activity (browse/search/add/edit/import) + BIG-TICKET RADAR (dated bills due from the bill calendar + one-offs ≥ 3× the category's usual, ⚑-flagged) + categories vs plan. Every transaction carries a SOURCE chip (bank — arrives with Teller / imported / by hand) — the dedupe seam for automatic import. All-transactions screen: month chips + search + swipe-edit/delete-with-undo.</t>
        </is>
      </c>
      <c r="C70" s="4" t="inlineStr">
        <is>
          <t>EXISTING activity/import engines; source field on Transaction</t>
        </is>
      </c>
      <c r="D70" s="4" t="inlineStr"/>
      <c r="E70" s="4" t="inlineStr">
        <is>
          <t>Teller-ready</t>
        </is>
      </c>
      <c r="F70" s="4" t="inlineStr"/>
      <c r="G70" s="4" t="inlineStr"/>
    </row>
    <row r="71">
      <c r="A71" s="18" t="inlineStr">
        <is>
          <t xml:space="preserve">   Tab 4 · Debts</t>
        </is>
      </c>
      <c r="B71" s="4" t="inlineStr">
        <is>
          <t>Total owed hero, each debt with rate + "pay first" on the costliest, log-a-payment sheet (ONE entry: balance drops AND the month's Out includes it — never double-counted), payoff progress since start.</t>
        </is>
      </c>
      <c r="C71" s="4" t="inlineStr">
        <is>
          <t>EXISTING debt engine + payment logging</t>
        </is>
      </c>
      <c r="D71" s="4" t="inlineStr"/>
      <c r="E71" s="4" t="inlineStr"/>
      <c r="F71" s="4" t="inlineStr"/>
      <c r="G71" s="4" t="inlineStr"/>
    </row>
    <row r="72">
      <c r="A72" s="18" t="inlineStr">
        <is>
          <t xml:space="preserve">   Month switcher (‹ month ›)</t>
        </is>
      </c>
      <c r="B72" s="4" t="inlineStr">
        <is>
          <t>Under the title; steers ALL FOUR tabs. Past = frozen actuals (month snapshots + ledger); future = the plan labeled "planned — an estimate" (expected income incl. by-month table; usual spend + dated big bills; scheduled payments). Month bars double as quick-jump.</t>
        </is>
      </c>
      <c r="C72" s="4" t="inlineStr">
        <is>
          <t>EXISTING: monthlySnapshots (past) + buildDatedGrid (future)</t>
        </is>
      </c>
      <c r="D72" s="4" t="inlineStr"/>
      <c r="E72" s="4" t="inlineStr">
        <is>
          <t>Honesty: planned never dressed as fact</t>
        </is>
      </c>
      <c r="F72" s="4" t="inlineStr"/>
      <c r="G72" s="4" t="inlineStr"/>
    </row>
    <row r="73">
      <c r="A73" s="18" t="inlineStr">
        <is>
          <t xml:space="preserve">   First-open states</t>
        </is>
      </c>
      <c r="B73" s="4" t="inlineStr">
        <is>
          <t>NO ZEROS anywhere. This month → 2-step setup (income pop-up + spending question). Income → set-up door + Teller SOON. Spending → 3 doors (connect bank SOON / import a statement / add by hand). Debts → "No debts tracked — if that's true, it's all yours" + add door.</t>
        </is>
      </c>
      <c r="C73" s="4" t="inlineStr"/>
      <c r="D73" s="4" t="inlineStr"/>
      <c r="E73" s="4" t="inlineStr"/>
      <c r="F73" s="4" t="inlineStr"/>
      <c r="G73" s="4" t="inlineStr"/>
    </row>
    <row r="74">
      <c r="A74" s="18" t="inlineStr">
        <is>
          <t xml:space="preserve">   Retirements &amp; routing</t>
        </is>
      </c>
      <c r="B74" s="4" t="inlineStr">
        <is>
          <t>The separate Budget screen RETIRES: /budget redirects into the surface (Spending). Menu: "Budget &amp; activity" entry removed; income-family screens reached from the Income tab. The approved ＋Expense sheet is unchanged.</t>
        </is>
      </c>
      <c r="C74" s="4" t="inlineStr"/>
      <c r="D74" s="4" t="inlineStr"/>
      <c r="E74" s="4" t="inlineStr"/>
      <c r="F74" s="4" t="inlineStr"/>
      <c r="G74" s="4"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68"/>
  <sheetViews>
    <sheetView zoomScale="175" workbookViewId="0">
      <pane ySplit="1" topLeftCell="A3" activePane="bottomLeft" state="frozen"/>
      <selection pane="bottomLeft" activeCell="A24" sqref="A24"/>
    </sheetView>
  </sheetViews>
  <sheetFormatPr baseColWidth="10" defaultColWidth="8.83203125" defaultRowHeight="15"/>
  <cols>
    <col width="30" customWidth="1" min="1" max="1"/>
    <col width="58" customWidth="1" min="2" max="2"/>
    <col width="42" customWidth="1" min="3" max="3"/>
    <col width="30" customWidth="1" min="4" max="4"/>
    <col width="32" customWidth="1" min="5" max="5"/>
    <col width="11" customWidth="1" min="6" max="6"/>
    <col width="24" customWidth="1" min="7" max="7"/>
  </cols>
  <sheetData>
    <row r="1" ht="26" customHeight="1">
      <c r="A1" s="1" t="inlineStr">
        <is>
          <t>Screen / element</t>
        </is>
      </c>
      <c r="B1" s="1" t="inlineStr">
        <is>
          <t>Wireframe (phone) or what it shows</t>
        </is>
      </c>
      <c r="C1" s="1" t="inlineStr">
        <is>
          <t>Data lineage (engine)</t>
        </is>
      </c>
      <c r="D1" s="1" t="inlineStr">
        <is>
          <t>Fields</t>
        </is>
      </c>
      <c r="E1" s="1" t="inlineStr">
        <is>
          <t>Sameness pin</t>
        </is>
      </c>
      <c r="F1" s="1" t="inlineStr">
        <is>
          <t>✅ Approve?</t>
        </is>
      </c>
      <c r="G1" s="1" t="inlineStr">
        <is>
          <t>💬 Your comments</t>
        </is>
      </c>
    </row>
    <row r="2" ht="46" customHeight="1">
      <c r="A2" s="5" t="inlineStr">
        <is>
          <t>▶ Plan hub  ·  lens: both</t>
        </is>
      </c>
      <c r="B2" s="6" t="inlineStr">
        <is>
          <t>The chief-of-staff desk: one calm place for the will-it-last number, the big decisions waiting on you, and your saved what-ifs. — The one true home of the will-it-last number, plus the doorway to every big decision and saved scenario. Nothing here changes your plan by itself -- every path ends at an explicit 'Use this plan' step.</t>
        </is>
      </c>
      <c r="C2" s="7" t="n"/>
      <c r="D2" s="7" t="n"/>
      <c r="E2" s="7" t="n"/>
      <c r="F2" s="7" t="n"/>
      <c r="G2" s="7" t="n"/>
    </row>
    <row r="3" ht="362.5" customHeight="1">
      <c r="A3" s="8" t="inlineStr">
        <is>
          <t>WIREFRAME</t>
        </is>
      </c>
      <c r="B3" s="9" t="inlineStr">
        <is>
          <t>+------------------------------+
| Plan                         |
| We lay it out. You decide.   |
|                              |
| WILL MY MONEY LAST? — to 92          (i)   |
|  Likely -- 84%               |
|  range 71-95%  estimate      |
|  [==== best-to-worst ====]   |
|  What drives this?        &gt;  |
|                              |
| BIG DECISIONS                |
| &gt; Claim Social Security      |
|   you can claim from Sep 2026 |
| &gt; Required withdrawals —     |
|   they start at 73  |
| &gt; Afford it all? home /      |
|   college / parents / debt   |
| &gt; Move money into a Roth     |
|                              |
| SAVED SCENARIOS (2)          |
| &gt; Retire at 66      79%      |
| &gt; Parents at $1,500 81%      |
|                              |
| Back to previous plan (Jul 2)|
| Sharpen your plan   6 of 9 &gt; |
+------------------------------+
| Home  Net worth  Invest      |
|        Cash flow  Plan       |
+------------------------------+</t>
        </is>
      </c>
      <c r="C3" s="3" t="inlineStr">
        <is>
          <t>BUILD NOTE:
Foundation EXISTS: simulate(), the store fields, the scenarios list, and SharpenPlanScreen. NET-NEW: this hub screen itself, the selectWillItLast selector, claim-window badge, planHistory revert row. CRITICAL: today retirementAssumptions is read ONLY by RetirementCockpit + SharpenPlanScreen -- the hub replaces RetirementCockpit's 'current' screen as the committed-plan home.</t>
        </is>
      </c>
      <c r="D3" s="3" t="inlineStr">
        <is>
          <t>INTERACTIONS:
Tap will-it-last card -&gt; detail screen. Tap a decision row -&gt; its decision screen. Tap a saved scenario -&gt; reopens as sandbox. Tap Back to previous plan -&gt; revert confirmation sheet. Pull to refresh re-runs the seeded simulation (same inputs give the same answer, so no flicker).</t>
        </is>
      </c>
      <c r="E3" s="3" t="inlineStr">
        <is>
          <t>ACCESSIBILITY:
Chance always pairs the percent with a word (Likely / Uncertain / Unlikely) so color never carries meaning alone. Band chart has a text alternative ('in the worst 1-in-10 futures, 71%'). All rows are one full-width tap target, minimum 44 points tall. Screen-reader order: headline, decisions, scenarios, revert, sharpen.</t>
        </is>
      </c>
      <c r="G3" s="3" t="n"/>
    </row>
    <row r="4" ht="46" customHeight="1">
      <c r="A4" s="3" t="inlineStr">
        <is>
          <t xml:space="preserve">   Will-it-last headline (chance + word + range band)</t>
        </is>
      </c>
      <c r="B4" s="3" t="inlineStr">
        <is>
          <t>One percent chance with a plain word next to it (Likely 84%), a best-to-worst range (71-95%), and the word 'estimate'. Tapping opens the Will-it-last detail screen.</t>
        </is>
      </c>
      <c r="C4" s="3" t="inlineStr">
        <is>
          <t>EXISTING: simulate() in src/domain/retirement/index.ts:115 (seeded, deterministic; with_band=true returns the best-to-worst band). NET-NEW: F11 composer -- a single selectWillItLast selector that feeds simulate() from the one shared assumptions object.</t>
        </is>
      </c>
      <c r="D4" s="3" t="inlineStr">
        <is>
          <t>chance_of_success; band points (low / typical / high per age); inputs from retirementAssumptions (src/store/useStore.ts:233, defaults :427): retireAge, horizonAge, contribMonthly, spendMonthly, guaranteedMonthly, ssClaimAge, expectedReturn, inflation</t>
        </is>
      </c>
      <c r="E4" s="3" t="inlineStr">
        <is>
          <t>PIN: this exact percent = Home hero strip = Cash flow strip = Will-it-last detail headline = the 'current' column on every decision screen. One selector, one seeded run, pinned by a cross-screen agreement test.</t>
        </is>
      </c>
    </row>
    <row r="5" ht="46" customHeight="1">
      <c r="A5" s="3" t="inlineStr">
        <is>
          <t xml:space="preserve">   Big-decisions list</t>
        </is>
      </c>
      <c r="B5" s="3" t="inlineStr">
        <is>
          <t>Four rows: Claim Social Security (with your filing window and an attention badge), Retirement transition + required withdrawals, Afford it all? (home / college / parents / debt), Move money into a Roth. Rows already decided show a 'your plan' chip, e.g. 'your plan: claim at 67'.</t>
        </is>
      </c>
      <c r="C5" s="3" t="inlineStr">
        <is>
          <t>Rows are fixed routes. 'Your plan' chips read retirementAssumptions (src/store/useStore.ts:233). Window badge is NET-NEW: F8 claim-window nudge computed from birth date. Required-withdrawal row gates on age vs the code constant RMD_START_AGE=73 in src/domain/decumulation/index.ts:82.</t>
        </is>
      </c>
      <c r="D5" s="3" t="inlineStr">
        <is>
          <t>ssClaimAge, retireAge, current age; badge date; per-row route</t>
        </is>
      </c>
      <c r="E5" s="3" t="inlineStr">
        <is>
          <t>PIN: the chip on a decision row shows the same value the decision screen's 'current plan' column shows -- both read the shared assumptions object, never a screen-local copy.</t>
        </is>
      </c>
    </row>
    <row r="6" ht="46" customHeight="1">
      <c r="A6" s="3" t="inlineStr">
        <is>
          <t xml:space="preserve">   Saved scenarios list</t>
        </is>
      </c>
      <c r="B6" s="3" t="inlineStr">
        <is>
          <t>Bookmarked what-ifs by name with their saved chance percent and date (e.g. 'Retire at 66 -- 79%'). Tapping one reopens it in its scenario screen, still as a sandbox. Swipe to delete.</t>
        </is>
      </c>
      <c r="C6" s="3" t="inlineStr">
        <is>
          <t>EXISTING: retirementScenarios (src/store/useStore.ts:235), saveRetirementScenario (:630-635) which bookmarks WITHOUT changing the live plan, deleteRetirementScenario (:636). NET-NEW: scenarios also store the change-list (patch) so a reopened scenario can go straight to Use this plan.</t>
        </is>
      </c>
      <c r="D6" s="3" t="inlineStr">
        <is>
          <t>id, name, createdAt, assumptions snapshot, retireAge, chance</t>
        </is>
      </c>
      <c r="E6" s="3" t="inlineStr">
        <is>
          <t>PIN: a saved scenario's stored chance is labeled with its save date; when reopened it is re-run against today's numbers and both values are shown ('was 79% when saved, 78% today').</t>
        </is>
      </c>
    </row>
    <row r="7" ht="46" customHeight="1">
      <c r="A7" s="3" t="inlineStr">
        <is>
          <t xml:space="preserve">   Back to previous plan row</t>
        </is>
      </c>
      <c r="B7" s="3" t="inlineStr">
        <is>
          <t>Appears only after an adoption: 'Back to previous plan (saved Jul 2)'. One tap opens a confirmation showing exactly what would switch back.</t>
        </is>
      </c>
      <c r="C7" s="3" t="inlineStr">
        <is>
          <t>NET-NEW: F11 composer -- planHistory snapshot stack (see engine spec); revert calls setRetirementAssumptions (src/store/useStore.ts:628) with the whole saved snapshot.</t>
        </is>
      </c>
      <c r="D7" s="3" t="inlineStr">
        <is>
          <t>planHistory: [{snapshot of all assumption fields, label, date}], newest first, keep last 5</t>
        </is>
      </c>
      <c r="E7" s="3" t="inlineStr">
        <is>
          <t>PIN: after revert, every screen (Home, Cash flow, Plan) shows the pre-adoption numbers exactly -- verified by the same agreement test that pins adoption.</t>
        </is>
      </c>
    </row>
    <row r="8" ht="46" customHeight="1">
      <c r="A8" s="3" t="inlineStr">
        <is>
          <t xml:space="preserve">   Sharpen your plan meter</t>
        </is>
      </c>
      <c r="B8" s="3" t="inlineStr">
        <is>
          <t>'6 of 9' completeness with a link to the checklist screen -- each unfinished item says what adding it would firm up.</t>
        </is>
      </c>
      <c r="C8" s="3" t="inlineStr">
        <is>
          <t>EXISTING: planCompleteness() in src/domain/completeness/index.ts:15 (returns checks, doneCount, total, pct); checklist screen exists today as src/screens/SharpenPlanScreen.tsx.</t>
        </is>
      </c>
      <c r="D8" s="3" t="inlineStr">
        <is>
          <t>checks[] {label, detail, done, route}, doneCount, total</t>
        </is>
      </c>
      <c r="E8" s="3" t="inlineStr">
        <is>
          <t>PIN: same count as the SharpenPlanScreen header -- both call planCompleteness() on the same inputs.</t>
        </is>
      </c>
    </row>
    <row r="9" ht="46" customHeight="1">
      <c r="A9" s="3" t="inlineStr">
        <is>
          <t xml:space="preserve">   Your monthly income row (retired lens)</t>
        </is>
      </c>
      <c r="B9" s="3" t="inlineStr">
        <is>
          <t>A hub row 'Your income — Social Security $2,600 · Pension $1,600 [edit]' linking to the Monthly-income screen, so guaranteed income is findable from Plan too (not just the Home prompt).</t>
        </is>
      </c>
      <c r="C9" s="3" t="inlineStr">
        <is>
          <t>retirementIncomeMonthly fields; navigation to the Cash flow Monthly-income screen.</t>
        </is>
      </c>
      <c r="D9" s="3" t="inlineStr">
        <is>
          <t>ri_*</t>
        </is>
      </c>
      <c r="E9" s="3" t="inlineStr">
        <is>
          <t>Same amounts as the hero lines — one source.</t>
        </is>
      </c>
    </row>
    <row r="10" ht="56" customHeight="1">
      <c r="A10" s="2" t="inlineStr">
        <is>
          <t xml:space="preserve">   STATES</t>
        </is>
      </c>
      <c r="B10" s="3" t="inlineStr">
        <is>
          <t>• Nothing captured: No fake percent. The will-it-last card becomes 'Answer three questions to see if your money lasts' (age, monthly spending, what you have) linking to Sharpen your plan. Decision rows stay visible but open with their own starter questions.
• Estimate ready: Full card with chance, range, and the word 'estimate'. Assumption sources (you set it / estimated from your data) are one tap away on the detail screen.
• Post-adoption: A quiet confirmation strip at top ('Your plan now includes: claim Social Security at 67') for the session, plus the persistent Back-to-previous-plan row.
• Hidden balances: Dollar figures mask to dots using the app-wide hide setting; percentages, ages, and dates stay visible because they are not balances.</t>
        </is>
      </c>
      <c r="C10" s="4" t="n"/>
      <c r="D10" s="4" t="n"/>
      <c r="E10" s="4" t="n"/>
    </row>
    <row r="12" ht="46" customHeight="1">
      <c r="A12" s="5" t="inlineStr">
        <is>
          <t>▶ Social Security claim timing  ·  lens: both</t>
        </is>
      </c>
      <c r="B12" s="6" t="inlineStr">
        <is>
          <t>The flagship decision: 62 vs 67 vs 70 laid out in your own dollars. You set how long you expect to live; we never crown a winner. — Show what claiming at 62, 67, or 70 pays per month, what each adds up to by the age YOU set, and what each does to the same will-it-last number the hub shows. Ends in the Use-this-plan sheet.</t>
        </is>
      </c>
      <c r="C12" s="7" t="n"/>
      <c r="D12" s="7" t="n"/>
      <c r="E12" s="7" t="n"/>
      <c r="F12" s="7" t="n"/>
      <c r="G12" s="7" t="n"/>
    </row>
    <row r="13" ht="325" customHeight="1">
      <c r="A13" s="8" t="inlineStr">
        <is>
          <t>WIREFRAME</t>
        </is>
      </c>
      <c r="B13" s="9" t="inlineStr">
        <is>
          <t>+------------------------------+
| &lt; Plan  Claim Social Security|
| We lay it out. You decide.   |
|                              |
| Your statement amount at 67  |
|  $2,600/mo          [edit]   |
|                              |
| Claim   Monthly  Total by 90 |
| at 62   $1,820    $611,520   |
| at 67   $2,600    $717,600   |
| at 70   $3,224    $773,760   |
|                              |
| Effect on will-it-last       |
|  62: 79%  [#######...]       |
|  67: 84%  [########..]       |
|  70: 88%  [#########.]       |
|  estimates, not promises     |
|                              |
| If you live to... (you set)  |
|  [----------o-----] age 90   |
|                              |
| Your window opens Sep 2026   |
| [ Remind me ]                |
|                              |
| [ Use claim at 67 as my plan]|
+------------------------------+</t>
        </is>
      </c>
      <c r="C13" s="3" t="inlineStr">
        <is>
          <t>BUILD NOTE:
Engine mostly EXISTS (simulate already accepts the claim-start age -- guaranteed_start_age in RetirementInputs). NET-NEW: this screen, the benefit-by-claim-age factor helper, window nudge, and the adoption patch. The store already has ssClaimAge/ssMonthly/ssEligible fields waiting (useStore.ts:427).</t>
        </is>
      </c>
      <c r="D13" s="3" t="inlineStr">
        <is>
          <t>INTERACTIONS:
Slider drag re-runs totals and bars live (seeded runs are fast and deterministic). Edit statement amount inline. Remind me -&gt; notification permission flow. Any Use-as-my-plan -&gt; adoption sheet. Back -&gt; hub, sandbox discarded with no prompt (nothing was at risk).</t>
        </is>
      </c>
      <c r="E13" s="3" t="inlineStr">
        <is>
          <t>ACCESSIBILITY:
Bars are labeled with age + percent text, never color-only; the three options also read as a plain sentence list for screen readers ('Claiming at 62 pays 1,820 a month...'). Slider has plus/minus stepper buttons as an alternative to dragging. All copy states 'estimate'.</t>
        </is>
      </c>
    </row>
    <row r="14" ht="46" customHeight="1">
      <c r="A14" s="3" t="inlineStr">
        <is>
          <t xml:space="preserve">   Statement amount input</t>
        </is>
      </c>
      <c r="B14" s="3" t="inlineStr">
        <is>
          <t>The monthly benefit from the user's own Social Security statement at their full claiming age (67). Everything else on the screen is computed from this one number they typed.</t>
        </is>
      </c>
      <c r="C14" s="3" t="inlineStr">
        <is>
          <t>Field EXISTS in the store: ssMonthly on retirementAssumptions (src/store/useStore.ts:427); written via setRetirementAssumptions (:628) only through the adoption sheet -- editing here updates the sandbox.</t>
        </is>
      </c>
      <c r="D14" s="3" t="inlineStr">
        <is>
          <t>ssMonthly (dollars per month, today's dollars), ssEligible</t>
        </is>
      </c>
      <c r="E14" s="3" t="inlineStr">
        <is>
          <t>PIN: the monthly figure for the ADOPTED claim age = guaranteedMonthly fed to simulate() = the deposit line Cash flow shows for post-claim months. One number, three homes, one source.</t>
        </is>
      </c>
    </row>
    <row r="15" ht="46" customHeight="1">
      <c r="A15" s="3" t="inlineStr">
        <is>
          <t xml:space="preserve">   Three-way compare table (monthly + lifetime)</t>
        </is>
      </c>
      <c r="B15" s="3" t="inlineStr">
        <is>
          <t>For 62 / 67 / 70: the monthly check and the total collected by the live-to age on the slider, all in today's dollars. Plain note under the table: 'earlier = smaller checks for longer; later = bigger checks for fewer years'.</t>
        </is>
      </c>
      <c r="C15" s="3" t="inlineStr">
        <is>
          <t>NET-NEW: F8 helper ssBenefitAtClaimAge(statementMonthly, claimAge) applying the government's standard early-claim reduction and delayed-claim credit percentages; lifetime total = monthly x months from claim age to the slider age (today's dollars, no market math).</t>
        </is>
      </c>
      <c r="D15" s="3" t="inlineStr">
        <is>
          <t>per option: claimAge, monthly, lifetimeToSliderAge</t>
        </is>
      </c>
      <c r="E15" s="3" t="inlineStr">
        <is>
          <t>PIN: the '67' row always equals the statement amount exactly (the factor at full claiming age is 1.0) -- a unit test pins this so the table can never drift from the user's own input.</t>
        </is>
      </c>
      <c r="G15" s="3" t="n"/>
    </row>
    <row r="16" ht="46" customHeight="1">
      <c r="A16" s="3" t="inlineStr">
        <is>
          <t xml:space="preserve">   Effect on will-it-last (three labeled bars)</t>
        </is>
      </c>
      <c r="B16" s="3" t="inlineStr">
        <is>
          <t>The hub's chance number re-run three times, once per claim age (62: 79%, 67: 84%, 70: 88%), each bar labeled with age + percent, marked 'estimates'.</t>
        </is>
      </c>
      <c r="C16" s="3" t="inlineStr">
        <is>
          <t>EXISTING: simulate() in src/domain/retirement/index.ts:115 already takes guaranteed_start_age (the claim age) and guaranteed_monthly_income as inputs -- no engine change needed, three seeded runs with the sandbox values.</t>
        </is>
      </c>
      <c r="D16" s="3" t="inlineStr">
        <is>
          <t>guaranteed_start_age = 62/67/70; guaranteed_monthly_income = benefit at that age; all other inputs from the shared assumptions</t>
        </is>
      </c>
      <c r="E16" s="3" t="inlineStr">
        <is>
          <t>PIN: the bar for the CURRENTLY adopted claim age must equal the hub's headline percent to the digit -- same seed, same inputs, agreement test.</t>
        </is>
      </c>
    </row>
    <row r="17" ht="46" customHeight="1">
      <c r="A17" s="3" t="inlineStr">
        <is>
          <t xml:space="preserve">   If-you-live-to slider</t>
        </is>
      </c>
      <c r="B17" s="3" t="inlineStr">
        <is>
          <t>A slider the USER moves (default: the plan-to age already in their plan). It re-computes the lifetime totals and the three bars. Caption: 'Your assumption, not our prediction.'</t>
        </is>
      </c>
      <c r="C17" s="3" t="inlineStr">
        <is>
          <t>local state while trying it out (same pattern as today's RetirementCockpit sandbox sliders, RetirementCockpit.tsx ~:193-198); feeds horizon_age into simulate() and the lifetime-total months. Nothing is stored until adoption.</t>
        </is>
      </c>
      <c r="D17" s="3" t="inlineStr">
        <is>
          <t>liveToAge (trying it out); horizonAge (shared, only on adoption)</t>
        </is>
      </c>
      <c r="E17" s="3" t="inlineStr">
        <is>
          <t>PIN: slider default = retirementAssumptions.horizonAge so the screen opens showing the same world the hub number lives in.</t>
        </is>
      </c>
    </row>
    <row r="18" ht="46" customHeight="1">
      <c r="A18" s="3" t="inlineStr">
        <is>
          <t xml:space="preserve">   Window + Remind me</t>
        </is>
      </c>
      <c r="B18" s="3" t="inlineStr">
        <is>
          <t>'You can claim any time from Sep 2026 (age 62) to 70 — no deadline' (the month they turn 62) and a Remind-me button that schedules a notification. Logistics only -- no opinion attached.</t>
        </is>
      </c>
      <c r="C18" s="3" t="inlineStr">
        <is>
          <t>NET-NEW: F8 claim-window nudge -- window dates derived from birth date; reminder uses the app's existing notification scaffolding.</t>
        </is>
      </c>
      <c r="D18" s="3" t="inlineStr">
        <is>
          <t>birth date -&gt; windowOpens (age-62 month), full-age month, age-70 month</t>
        </is>
      </c>
      <c r="E18" s="3" t="inlineStr">
        <is>
          <t>PIN: the same window date drives the badge on the Plan hub decision row.</t>
        </is>
      </c>
    </row>
    <row r="19" ht="46" customHeight="1">
      <c r="A19" s="3" t="inlineStr">
        <is>
          <t xml:space="preserve">   Use-as-my-plan buttons (one per option)</t>
        </is>
      </c>
      <c r="B19" s="3" t="inlineStr">
        <is>
          <t>Each column has 'Use claim at 62/67/70 as my plan'. Tapping opens the shared adoption sheet with the exact old-to-new list for that option.</t>
        </is>
      </c>
      <c r="C19" s="3" t="inlineStr">
        <is>
          <t>NET-NEW: F11 composer -- the button builds the change-list patch {ssClaimAge, ssMonthly at that age -&gt; guaranteedMonthly, horizonAge if the slider moved}; the sheet does the write via setRetirementAssumptions (src/store/useStore.ts:628).</t>
        </is>
      </c>
      <c r="D19" s="3" t="inlineStr">
        <is>
          <t>patch: ssClaimAge, guaranteedMonthly, horizonAge</t>
        </is>
      </c>
      <c r="E19" s="3" t="inlineStr">
        <is>
          <t>PIN: the numbers on the button's preview sheet are the same objects rendered in this screen's table -- one computation, passed through, never recomputed differently.</t>
        </is>
      </c>
    </row>
    <row r="20" ht="46" customHeight="1">
      <c r="A20" s="3" t="inlineStr">
        <is>
          <t xml:space="preserve">   Statement-amount finder line</t>
        </is>
      </c>
      <c r="B20" s="3" t="inlineStr">
        <is>
          <t>Under the input: 'It's on your Social Security statement — ssa.gov/myaccount or the mailed copy. No rush; the example numbers stay until you have it.'</t>
        </is>
      </c>
      <c r="C20" s="3" t="inlineStr">
        <is>
          <t>copy only</t>
        </is>
      </c>
      <c r="D20" s="3" t="inlineStr">
        <is>
          <t>none</t>
        </is>
      </c>
      <c r="E20" s="3" t="inlineStr">
        <is>
          <t>n/a</t>
        </is>
      </c>
    </row>
    <row r="21" ht="64" customHeight="1">
      <c r="A21" s="3" t="inlineStr">
        <is>
          <t xml:space="preserve">   Where these numbers come from (i) (c32)</t>
        </is>
      </c>
      <c r="B21" s="3" t="inlineStr">
        <is>
          <t>Info dot on the table: 'The standard Social Security Administration rules applied to YOUR statement amount: claiming early reduces the check ~6-7% per year (to about 70% at 62); waiting adds 8% per year past full age (to about 124% at 70) — the same schedule as ssa.gov. Lifetime totals = that monthly amount × months to the age you set.'</t>
        </is>
      </c>
      <c r="C21" s="3" t="inlineStr">
        <is>
          <t>ssBenefitAtClaimAge factors = the SSA standard reduction/credit schedule; the 67 row equals the statement amount exactly (unit-tested).</t>
        </is>
      </c>
      <c r="D21" s="3" t="inlineStr">
        <is>
          <t>none</t>
        </is>
      </c>
      <c r="E21" s="3" t="inlineStr">
        <is>
          <t>Same factors the compare table and the adoption patch use.</t>
        </is>
      </c>
    </row>
    <row r="22" ht="409.5" customHeight="1">
      <c r="A22" s="2" t="inlineStr">
        <is>
          <t xml:space="preserve">   STATES</t>
        </is>
      </c>
      <c r="B22" s="3" t="inlineStr">
        <is>
          <t>• Nothing captured: If no statement amount yet: the table shows a worked example in gray labeled 'example numbers', with one input box on top -- 'Type the monthly amount from your Social Security statement to see YOUR numbers.'
• Scenario running (trying it out): Moving the slider or editing the amount shows the banner 'Trying it out -- this won't change your plan until you tap Use this plan.'
• Post-adoption: The adopted column gets a 'your plan' chip; the button row becomes 'Your plan: claim at 67 -- change it' plus the hub's Back-to-previous-plan affordance.
• Hidden balances: Monthly and lifetime dollars mask to dots; the three percent bars and ages stay visible so the shape of the decision survives hiding.
• Already receiving benefits: One question above the fold: 'Already receiving Social Security?' → 'Enter what you get each month instead' links to the Monthly-income screen (Cash flow). The claim-timing compare is for the not-yet-claimed; a receiver is never asked for a statement amount or shown claim windows. The hub row chip then reads 'you receive $2,600/mo ✓'.
• Claim ages already passed (e.g. 68, not yet claimed): Options below the user's current age grey out with the word 'passed' ('you can no longer claim at 62'); the compare re-centers on claim-now vs 70, with the monthly amounts adjusted to their actual claiming age. Never shows a choice that no longer exists.
• Couples (known v1 limitation, stated not hidden): One honest line under the table: 'These figures reflect one person's benefit. Spousal and survivor benefits can change the best timing for couples — v1 doesn't model them yet.' Stated plainly per the truth-teller rule.</t>
        </is>
      </c>
      <c r="C22" s="4" t="n"/>
      <c r="D22" s="4" t="n"/>
      <c r="E22" s="4" t="n"/>
    </row>
    <row r="23" ht="46" customHeight="1"/>
    <row r="24" ht="400" customHeight="1">
      <c r="A24" s="5" t="inlineStr">
        <is>
          <t>▶ Multi-goal trade-off composer  ·  lens: both</t>
        </is>
      </c>
      <c r="B24" s="6" t="inlineStr">
        <is>
          <t>Can I do it all? Parents, college, the mortgage, debt, and retirement saving -- together on one screen, with the shortfall and the retirement cost in plain sight. — Toggle several goals on together, set each one's monthly amount with a slider, and see two verdicts at once: does this month's money cover it, and what does it do to retirement. Ends in Use this plan.</t>
        </is>
      </c>
      <c r="C24" s="7" t="n"/>
      <c r="D24" s="7" t="n"/>
      <c r="E24" s="7" t="n"/>
      <c r="F24" s="7" t="n"/>
      <c r="G24" s="7" t="n"/>
    </row>
    <row r="25" ht="46" customHeight="1">
      <c r="A25" s="8" t="inlineStr">
        <is>
          <t>WIREFRAME</t>
        </is>
      </c>
      <c r="B25" s="9" t="inlineStr">
        <is>
          <t>+------------------------------+
| &lt; Plan   Afford it all?      |
| Trying it out -- nothing changes   |
| until you tap Use this plan  |
|                              |
| Try these together:          |
| [x] Help parents  $2,500/mo  |
|     [-------o----]           |
| [x] College fund  $1,000/mo  |
|     ends Aug 2031            |
| [x] Extra on debt   $600/mo  |
|     paid off May 2031,       |
|     saves $4,100 interest    |
| [x] Keep retirement $1,500   |
|                              |
| Can you do it all?           |
|  (your regular bills, incl.  |
|   the mortgage, are already  |
|   counted)                   |
|  Short $400/mo this year     |
|  [ where the money goes &gt; ]  |
|                              |
| Effect on retirement         |
|  Retire age    67 -&gt; 69      |
|  Will-it-last  84% -&gt; 76%    |
|   (Likely -&gt; Uncertain)      |
|  estimate, not a promise     |
|                              |
| What if you trim one?        |
|  Parents at $1,500: retire   |
|  68, chance 81%. Your call.  |
|                              |
| [ Save scenario ]            |
| [ Use this plan ]            |
+------------------------------+</t>
        </is>
      </c>
      <c r="C25" s="3" t="inlineStr">
        <is>
          <t>BUILD NOTE:
Single-goal math, capacity, debt payoff, and the retirement solver all EXIST -- the NET-NEW work is the F4 weigher that runs them together, the trim-one sweep, and the commitments field on the shared assumptions object. There is NO multi-goal engine in the code today; this is a headline v1 build item.</t>
        </is>
      </c>
      <c r="D25" s="3" t="inlineStr">
        <is>
          <t>INTERACTIONS:
Toggle flips recompute both verdicts immediately; slider drags debounce to one recompute on release. 'Where the money goes' expands inline. Trim hints are tappable -- tapping one applies that amount to the slider (still sandbox). Save prompts for a name.</t>
        </is>
      </c>
      <c r="E25" s="3" t="inlineStr">
        <is>
          <t>ACCESSIBILITY:
Every toggle announces its goal and amount; verdict line is plain text, not color-coded alone (word 'Short'/'Covered' always present). Sliders have stepper buttons and accept typed amounts. Recomputes announce politely via the screen reader ('updated: short 400 a month').</t>
        </is>
      </c>
    </row>
    <row r="26" ht="46" customHeight="1">
      <c r="A26" s="3" t="inlineStr">
        <is>
          <t xml:space="preserve">   Goal toggle rows with per-goal sliders</t>
        </is>
      </c>
      <c r="B26" s="3" t="inlineStr">
        <is>
          <t>Each goal (help parents, college fund, home down-payment, extra on debt, keep saving for retirement) with an on/off switch and a monthly-amount slider. Goals with a target show their finish date at the chosen pace.</t>
        </is>
      </c>
      <c r="C26" s="3" t="inlineStr">
        <is>
          <t>EXISTING: goals seeded by the seedGoals store action (src/store/useStore.ts:583) / goalsFromOnboarding (src/domain/goals/index.ts:51); finish dates from monthsToGoal (src/domain/goals/index.ts:116) and requiredMonthly (:108). NET-NEW: F4 multi-goal weigher runs them TOGETHER (today's math is one goal at a time).</t>
        </is>
      </c>
      <c r="D26" s="3" t="inlineStr">
        <is>
          <t>per goal: id, label, monthlyAmount (slider), target amount, saved so far, computed end date; retirement row maps to contribMonthly</t>
        </is>
      </c>
      <c r="E26" s="3" t="inlineStr">
        <is>
          <t>PIN: a goal's single-goal finish date here = the finish date the goal shows anywhere else at the same monthly amount -- both call monthsToGoal().</t>
        </is>
      </c>
    </row>
    <row r="27" ht="46" customHeight="1">
      <c r="A27" s="3" t="inlineStr">
        <is>
          <t xml:space="preserve">   Extra-on-debt row</t>
        </is>
      </c>
      <c r="B27" s="3" t="inlineStr">
        <is>
          <t>A special goal row: the extra monthly payment, the resulting payoff month, and the interest saved ('paid off May 2031, saves $4,100 in interest').</t>
        </is>
      </c>
      <c r="C27" s="3" t="inlineStr">
        <is>
          <t>EXISTING: payoffPlan() in src/domain/debt/index.ts:96 (takes the debt list + extra monthly, returns the payoff schedule); debts from the store's liabilities.</t>
        </is>
      </c>
      <c r="D27" s="3" t="inlineStr">
        <is>
          <t>extraMonthly (slider), payoff month, total interest with vs without the extra</t>
        </is>
      </c>
      <c r="E27" s="3" t="inlineStr">
        <is>
          <t>PIN: payoff month here = payoff month on the Money/Debts screen for the same extra amount -- one payoffPlan() call path.</t>
        </is>
      </c>
    </row>
    <row r="28" ht="46" customHeight="1">
      <c r="A28" s="3" t="inlineStr">
        <is>
          <t xml:space="preserve">   Can-you-do-it-all verdict</t>
        </is>
      </c>
      <c r="B28" s="3" t="inlineStr">
        <is>
          <t>One line: 'Covered, with $250/mo to spare' or 'Short $400/mo this year', plus a tap-through 'where the money goes' stacked list (income in, essentials, each goal, what's left).</t>
        </is>
      </c>
      <c r="C28" s="3" t="inlineStr">
        <is>
          <t>EXISTING capacity: availableToSaveSummary() in src/domain/goals/index.ts:70 -- the same available-to-save number the Cash flow tab uses. NET-NEW: F4 weigher does the subtraction across all toggled goals and builds the stacked list.</t>
        </is>
      </c>
      <c r="D28" s="3" t="inlineStr">
        <is>
          <t>capacity (monthly), committed = sum of toggled monthly amounts, surplus/shortfall = capacity - committed</t>
        </is>
      </c>
      <c r="E28" s="3" t="inlineStr">
        <is>
          <t>PIN: 'capacity' = Cash flow tab's available-to-save to the dollar -- same helper, pinned by an agreement test. A shortfall here can never coexist with a surplus on Cash flow.</t>
        </is>
      </c>
    </row>
    <row r="29" ht="46" customHeight="1">
      <c r="A29" s="3" t="inlineStr">
        <is>
          <t xml:space="preserve">   Effect-on-retirement panel</t>
        </is>
      </c>
      <c r="B29" s="3" t="inlineStr">
        <is>
          <t>Two before-and-after lines: retire age (67 -&gt; 69) and will-it-last (84% -&gt; 76%), labeled 'estimate, not a promise'. 'Before' is the adopted plan; 'after' is this combination.</t>
        </is>
      </c>
      <c r="C29" s="3" t="inlineStr">
        <is>
          <t>EXISTING: solveRetireAge() (src/domain/retirement/index.ts:225) and simulate() (:115), fed with the retirement row's dial as the contribution. NET-NEW: F4 weigher builds the year-by-year contribution picture (goals that end give their money back to saving when they finish).</t>
        </is>
      </c>
      <c r="D29" s="3" t="inlineStr">
        <is>
          <t>annual_contribution = retirement dial x 12 (goal end dates noted), everything else from shared assumptions</t>
        </is>
      </c>
      <c r="E29" s="3" t="inlineStr">
        <is>
          <t>PIN: the 'before' side (67, 84%) = the hub's current numbers exactly -- read from the same selector, not retyped.</t>
        </is>
      </c>
    </row>
    <row r="30" ht="46" customHeight="1">
      <c r="A30" s="3" t="inlineStr">
        <is>
          <t xml:space="preserve">   What-if-you-trim-one hints</t>
        </is>
      </c>
      <c r="B30" s="3" t="inlineStr">
        <is>
          <t>For each active goal, one descriptive line: 'Parents at $1,500 instead: retire 68, chance 81%.' Wording is always what-happens-if, never you-should.</t>
        </is>
      </c>
      <c r="C30" s="3" t="inlineStr">
        <is>
          <t>NET-NEW: F4 weigher re-runs the same math with one dial at a reduced amount per hint; deterministic because simulate() is seeded.</t>
        </is>
      </c>
      <c r="D30" s="3" t="inlineStr">
        <is>
          <t>per hint: goal, trimmed amount, resulting retire age + chance</t>
        </is>
      </c>
      <c r="E30" s="3" t="inlineStr">
        <is>
          <t>PIN: applying a hint's amount to the slider reproduces the hint's numbers exactly -- the hint IS a pre-run of the slider, not separate math.</t>
        </is>
      </c>
    </row>
    <row r="31" ht="56" customHeight="1">
      <c r="A31" s="3" t="inlineStr">
        <is>
          <t xml:space="preserve">   Save scenario / Use this plan buttons</t>
        </is>
      </c>
      <c r="B31" s="3" t="inlineStr">
        <is>
          <t>Save scenario bookmarks the combination under a name without touching the plan. Use this plan opens the adoption sheet listing every number that would change.</t>
        </is>
      </c>
      <c r="C31" s="3" t="inlineStr">
        <is>
          <t>EXISTING: saveRetirementScenario (src/store/useStore.ts:630-635). NET-NEW: F11 adoption patch = {contribMonthly = retirement dial, commitments = the toggled goal rows}; commitments is a new field on the shared assumptions object.</t>
        </is>
      </c>
      <c r="D31" s="3" t="inlineStr">
        <is>
          <t>patch: contribMonthly, commitments[] {goalId, label, monthlyAmount, endDate}</t>
        </is>
      </c>
      <c r="E31" s="3" t="inlineStr">
        <is>
          <t>PIN: after adoption, each commitment appears as a planned monthly line in the Cash flow paycheck view with the same label and amount.</t>
        </is>
      </c>
    </row>
    <row r="32" ht="176" customHeight="1">
      <c r="A32" s="2" t="inlineStr">
        <is>
          <t xml:space="preserve">   STATES</t>
        </is>
      </c>
      <c r="B32" s="3" t="inlineStr">
        <is>
          <t>• Nothing captured: No goals yet: the screen offers the four starter goals with off switches and typical example amounts in gray ('example'), plus 'Add your own'. Capacity line asks for income/spending if missing, linking to Cash flow setup.
• Scenario running (trying it out): Persistent top banner: 'Trying it out -- nothing changes until you tap Use this plan.' All slider moves are local; leaving the screen offers 'Save as scenario?' only if something moved.
• Post-adoption: Confirmation ('This is your plan now'), goals show 'in your plan' chips, and the hub's Back-to-previous-plan row appears.
• Hidden balances: Dollar amounts mask; toggles, dates, retire ages, and percents stay readable so the trade-off shape survives.</t>
        </is>
      </c>
      <c r="C32" s="4" t="n"/>
      <c r="D32" s="4" t="n"/>
      <c r="E32" s="4" t="n"/>
    </row>
    <row r="33" ht="46" customHeight="1"/>
    <row r="34" ht="362.5" customHeight="1">
      <c r="A34" s="5" t="inlineStr">
        <is>
          <t>▶ Roth conversion (simple scenario)  ·  lens: both</t>
        </is>
      </c>
      <c r="B34" s="6" t="inlineStr">
        <is>
          <t>One dial, one honest trade: pay some tax now, in a low-tax year, so more of later life is tax-free. Estimates, clearly labeled. — The simple case only (v1): convert X dollars this year. Show the tax cost now, the two later effects (smaller required withdrawals, bigger tax-free bucket), and the will-it-last impact. You decide; ends in Use this plan.</t>
        </is>
      </c>
      <c r="C34" s="7" t="n"/>
      <c r="D34" s="7" t="n"/>
      <c r="E34" s="7" t="n"/>
      <c r="F34" s="7" t="n"/>
      <c r="G34" s="7" t="n"/>
    </row>
    <row r="35" ht="46" customHeight="1">
      <c r="A35" s="8" t="inlineStr">
        <is>
          <t>WIREFRAME</t>
        </is>
      </c>
      <c r="B35" s="9" t="inlineStr">
        <is>
          <t>+------------------------------+
| &lt; Plan  Move money to a Roth |
| Trying it out -- nothing changes   |
| until you tap Use this plan  |
|                              |
| Convert this year            |
|  [----o----------]  $25,000  |
|  from your pre-tax $310,000  |
|                              |
| What that does (estimates)   |
|  Tax bill next April         |
|   about $5,500 more          |
|  Required withdrawals at 73  |
|   about $980 a year smaller  |
|  Tax-free bucket             |
|   $118,000 -&gt; $143,000       |
|                              |
| Effect on will-it-last       |
|  84% -&gt; 84%  little change   |
|                              |
| What this trade is: tax on  |
| what you convert now; after  |
| that it grows and comes out  |
| tax-free, and the government |
| -mandated withdrawals shrink.|
|                              |
| [ Save scenario ]            |
| [ Use this plan ]            |
+------------------------------+</t>
        </is>
      </c>
      <c r="C35" s="3" t="inlineStr">
        <is>
          <t>BUILD NOTE:
rothConversion() and rmdAtAge() EXIST; today's RothScreen.tsx is a disconnected calculator (local state, zero store writes) -- v1 rewires it to real balances (taxBucketSplit) and the F11 adoption flow. Keep v1 to the single-year, single-amount case exactly as the requirement says; multi-year ladders are out of scope.</t>
        </is>
      </c>
      <c r="D35" s="3" t="inlineStr">
        <is>
          <t>INTERACTIONS:
Slider drag recomputes the four result lines on release. Tap the tax line to see and change the rate assumption. Save prompts for a name. Use this plan -&gt; adoption sheet.</t>
        </is>
      </c>
      <c r="E35" s="3" t="inlineStr">
        <is>
          <t>ACCESSIBILITY:
All four results are plain sentences (screen-reader friendly by construction). Slider has steppers and typed entry. 'Estimate' is text, not a color or icon alone. The what-this-trade-is paragraph targets a grade-6 reading level.</t>
        </is>
      </c>
    </row>
    <row r="36" ht="46" customHeight="1">
      <c r="A36" s="3" t="inlineStr">
        <is>
          <t xml:space="preserve">   Convert-this-year slider</t>
        </is>
      </c>
      <c r="B36" s="3" t="inlineStr">
        <is>
          <t>Amount to convert, capped at the user's real pre-tax balance shown right below it ('from your pre-tax $310,000').</t>
        </is>
      </c>
      <c r="C36" s="3" t="inlineStr">
        <is>
          <t>EXISTING: taxBucketSplit() in src/domain/decumulation/index.ts:10 gives the real pre-tax / tax-free / taxable buckets from accounts. Today's src/screens/RothScreen.tsx uses typed-in local numbers (useState :20-22, zero store writes) -- v1 replaces those with real balances.</t>
        </is>
      </c>
      <c r="D36" s="3" t="inlineStr">
        <is>
          <t>conversionAmount (sandbox slider); preTax and roth from taxBucketSplit(accounts)</t>
        </is>
      </c>
      <c r="E36" s="3" t="inlineStr">
        <is>
          <t>PIN: the pre-tax balance shown = the pre-tax bucket on Net worth's by-type view -- same taxBucketSplit() call, agreement test.</t>
        </is>
      </c>
    </row>
    <row r="37" ht="46" customHeight="1">
      <c r="A37" s="3" t="inlineStr">
        <is>
          <t xml:space="preserve">   Tax-bill-now line</t>
        </is>
      </c>
      <c r="B37" s="3" t="inlineStr">
        <is>
          <t>'Tax bill next April: about $5,500 more', with a tap-through showing the tax-rate estimate used and a 'change it' control. Always labeled 'estimate -- your tax preparer has the exact number.'</t>
        </is>
      </c>
      <c r="C37" s="3" t="inlineStr">
        <is>
          <t>EXISTING: rothConversion() in src/domain/planning/index.ts:91 (note: it lives in the planning module, not the retirement module). NET-NEW: surfacing its rate assumption as a user-editable input.</t>
        </is>
      </c>
      <c r="D37" s="3" t="inlineStr">
        <is>
          <t>conversionAmount x estimated tax rate; rate source shown (estimated from your income / you set it)</t>
        </is>
      </c>
      <c r="E37" s="3" t="inlineStr">
        <is>
          <t>PIN: the income figure behind the rate estimate = the same income the Cash flow tab uses -- no second income number.</t>
        </is>
      </c>
    </row>
    <row r="38" ht="46" customHeight="1">
      <c r="A38" s="3" t="inlineStr">
        <is>
          <t xml:space="preserve">   Later effects pair</t>
        </is>
      </c>
      <c r="B38" s="3" t="inlineStr">
        <is>
          <t>Two lines: 'Required withdrawals at 73: about $980 a year smaller' and 'Tax-free bucket: $118,000 -&gt; $143,000'. Plain footnote: at 73 the government requires yearly withdrawals from pre-tax accounts; converting shrinks that requirement.</t>
        </is>
      </c>
      <c r="C38" s="3" t="inlineStr">
        <is>
          <t>EXISTING: rmdAtAge() (src/domain/decumulation/index.ts:100) and the RMD_START_AGE=73 constant (:82) -- run on pre-tax balance with and without the conversion, projected to age 73; buckets from taxBucketSplit().</t>
        </is>
      </c>
      <c r="D38" s="3" t="inlineStr">
        <is>
          <t>rmdAtAge(preTax projected, 73) before vs after; roth bucket before/after</t>
        </is>
      </c>
      <c r="E38" s="3" t="inlineStr">
        <is>
          <t>PIN: the age-73 required-withdrawal figure here matches the Retirement-transition screen's year-73 row for the same balances -- one rmdAtAge() path.</t>
        </is>
      </c>
    </row>
    <row r="39" ht="46" customHeight="1">
      <c r="A39" s="3" t="inlineStr">
        <is>
          <t xml:space="preserve">   Effect on will-it-last</t>
        </is>
      </c>
      <c r="B39" s="3" t="inlineStr">
        <is>
          <t>Before-and-after chance ('84% -&gt; 84%, little change'). Honest when the move barely moves the odds -- the point of the decision is taxes, and the copy says so.</t>
        </is>
      </c>
      <c r="C39" s="3" t="inlineStr">
        <is>
          <t>EXISTING: simulate() (src/domain/retirement/index.ts:115); the conversion nudges the inputs (tax cash paid now reduces the starting balance; later tax savings raise net spending power). NET-NEW: F11 composer maps the conversion into simulate() inputs.</t>
        </is>
      </c>
      <c r="D39" s="3" t="inlineStr">
        <is>
          <t>start_balance minus the tax paid; delta labeled estimate</t>
        </is>
      </c>
      <c r="E39" s="3" t="inlineStr">
        <is>
          <t>PIN: the 'before' percent = the hub headline, same selector.</t>
        </is>
      </c>
    </row>
    <row r="40" ht="56" customHeight="1">
      <c r="A40" s="3" t="inlineStr">
        <is>
          <t xml:space="preserve">   Save scenario / Use this plan</t>
        </is>
      </c>
      <c r="B40" s="3" t="inlineStr">
        <is>
          <t>Save bookmarks it; Use this plan opens the adoption sheet: conversion amount, this year's extra tax, and the reminder task it creates ('do the conversion with your brokerage before Dec 31').</t>
        </is>
      </c>
      <c r="C40" s="3" t="inlineStr">
        <is>
          <t>EXISTING: saveRetirementScenario (src/store/useStore.ts:630-635). NET-NEW: F11 patch = {rothConversionThisYear amount} on the shared assumptions object + a dated action item; the app never moves money -- it records the intention and the numbers.</t>
        </is>
      </c>
      <c r="D40" s="3" t="inlineStr">
        <is>
          <t>patch: rothConversionThisYear; action item with Dec 31 deadline</t>
        </is>
      </c>
      <c r="E40" s="3" t="inlineStr">
        <is>
          <t>PIN: after adoption, Cash flow's April shows the extra tax as a planned expense with the same dollar figure the sheet previewed.</t>
        </is>
      </c>
    </row>
    <row r="41" ht="160" customHeight="1">
      <c r="A41" s="2" t="inlineStr">
        <is>
          <t xml:space="preserve">   STATES</t>
        </is>
      </c>
      <c r="B41" s="3" t="inlineStr">
        <is>
          <t>• Nothing captured: No pre-tax accounts on file: explains what a conversion is in three sentences and links to 'Add your retirement accounts' on Net worth. No fake slider.
• Scenario running (trying it out): Banner: 'Trying it out -- nothing changes until you tap Use this plan.' Slider is local state only.
• Post-adoption: Confirmation + the Dec 31 action item appears here and on the hub; Back-to-previous-plan available. Copy reminds: 'FinWise recorded the plan -- the actual conversion happens at your brokerage.'
• Hidden balances: Dollar figures mask to dots; the percent lines and the what-this-trade-is explainer stay.</t>
        </is>
      </c>
      <c r="C41" s="4" t="n"/>
      <c r="D41" s="4" t="n"/>
      <c r="E41" s="4" t="n"/>
    </row>
    <row r="42" ht="46" customHeight="1"/>
    <row r="43" ht="362.5" customHeight="1">
      <c r="A43" s="5" t="inlineStr">
        <is>
          <t>▶ Retirement transition + required withdrawals  ·  lens: both</t>
        </is>
      </c>
      <c r="B43" s="6" t="inlineStr">
        <is>
          <t>The chief-of-staff view of the government-mandated yearly withdrawal: this year's required amount, how much of it is already taken, the deadline, a year-by-year schedule (clearly labeled estimates — future amounts move with balances), and a getting-ready checklist for the run-up to 73. Logistics and reminders — the decision of WHEN in the year to take it stays with you.</t>
        </is>
      </c>
      <c r="C43" s="7" t="n"/>
      <c r="D43" s="7" t="n"/>
      <c r="E43" s="7" t="n"/>
      <c r="F43" s="7" t="n"/>
      <c r="G43" s="7" t="n"/>
    </row>
    <row r="44" ht="46" customHeight="1">
      <c r="A44" s="8" t="inlineStr">
        <is>
          <t>WIREFRAME</t>
        </is>
      </c>
      <c r="B44" s="9" t="inlineStr">
        <is>
          <t>+------------------------------+
| &lt; Plan  Retirement transition|
|                              |
| REQUIRED WITHDRAWALS         |
| From age 73 the law says you |
| must take a set amount out   |
| of pre-tax retirement        |
| accounts every year.         |
|                              |
| This year (age 74)           |
|  Required      $15,660       |
|  Taken so far   $8,000       |
|  Still to take  $7,660       |
|  by Dec 31, 2026             |
|  [ Mark as taken ]           |
|  [ Remind me in November ]   |
|                              |
| Year by year (estimates)     |
|  73   $15,090   taken (done) |
|  74   $15,660   $7,660 left  |
|  75  ~$16,100   upcoming     |
|  76  ~$16,500   upcoming     |
|                              |
| GETTING READY (before 73)    |
|  [x] Social Security decided |
|  [x] Paycheck set up         |
|  [ ] Draw order reviewed  &gt;  |
|  [ ] Health coverage checked(i) |
+------------------------------+</t>
        </is>
      </c>
      <c r="C44" s="3" t="inlineStr">
        <is>
          <t>BUILD NOTE:
Engine EXISTS (rmdAtAge, divisors, ledger, completeness); the screen, taken-so-far tagging, and year projection wiring are NET-NEW. This screen satisfies the Plan hub's 'Retirement transition + required withdrawals' row — previously referenced but undesigned (verification blocker #1).</t>
        </is>
      </c>
      <c r="D44" s="3" t="inlineStr">
        <is>
          <t>INTERACTIONS:
Mark as taken -&gt; amount + account sheet -&gt; writes the ledger entry and updates 'still to take'. Tap a schedule year -&gt; its assumptions ('based on your balance of $X and the age-75 divisor'). Checklist rows navigate to their screens. Remind me -&gt; notification permission flow.</t>
        </is>
      </c>
      <c r="E44" s="3" t="inlineStr">
        <is>
          <t>ACCESSIBILITY:
The requirement is read as one sentence ('Required withdrawal for 2026: 15,660 dollars; 8,000 taken; 7,660 still to take by December 31'). 'done'/'left'/'upcoming' are words, never color alone. All rows 44+ points.</t>
        </is>
      </c>
    </row>
    <row r="45" ht="46" customHeight="1">
      <c r="A45" s="3" t="inlineStr">
        <is>
          <t xml:space="preserve">   This-year required amount + taken-so-far + deadline</t>
        </is>
      </c>
      <c r="B45" s="3" t="inlineStr">
        <is>
          <t>'Required $15,660 · Taken so far $8,000 · Still to take $7,660 by Dec 31' — the mandated amount for the current year against what has already been withdrawn.</t>
        </is>
      </c>
      <c r="C45" s="3" t="inlineStr">
        <is>
          <t>EXISTING: rmdAtAge(preTaxBalance, age) + RMD_START_AGE=73 — src/domain/decumulation/index.ts:100/:82. Taken-so-far: NET-NEW — sum of this year's withdrawals recorded against pre-tax accounts in the transaction ledger (src/domain/transactions/index.ts) plus manual 'Mark as taken' entries.</t>
        </is>
      </c>
      <c r="D45" s="3" t="inlineStr">
        <is>
          <t>pre-tax balance (taxBucketSplit), age, ledger WITHDRAWAL rows on pre-tax accounts this year, marked-taken records</t>
        </is>
      </c>
      <c r="E45" s="3" t="inlineStr">
        <is>
          <t>PIN: the required amount = the pinned first step on the Cash flow draw-order sheet = the year-73 row the Roth screen compares against — one rmdAtAge() path, agreement-tested.</t>
        </is>
      </c>
    </row>
    <row r="46" ht="46" customHeight="1">
      <c r="A46" s="3" t="inlineStr">
        <is>
          <t xml:space="preserve">   Mark as taken</t>
        </is>
      </c>
      <c r="B46" s="3" t="inlineStr">
        <is>
          <t>One tap records that the withdrawal (or part of it) was taken outside the app; asks the amount and which account it left. Writes a real ledger entry so history and balances stay honest.</t>
        </is>
      </c>
      <c r="C46" s="3" t="inlineStr">
        <is>
          <t>EXISTING engine: recordTransaction (src/store/useStore.ts) with type WITHDRAWAL — the same one ledger every screen reads; NET-NEW: the entry point and the 'counts toward this year's requirement' tag.</t>
        </is>
      </c>
      <c r="D46" s="3" t="inlineStr">
        <is>
          <t>Transaction {type: WITHDRAWAL, account_id, amount, date, note:'required withdrawal'}</t>
        </is>
      </c>
      <c r="E46" s="3" t="inlineStr">
        <is>
          <t>PIN: marking here reduces 'still to take' AND shows in the account's activity history — one ledger, no side lists.</t>
        </is>
      </c>
    </row>
    <row r="47" ht="46" customHeight="1">
      <c r="A47" s="3" t="inlineStr">
        <is>
          <t xml:space="preserve">   Year-by-year schedule (estimates)</t>
        </is>
      </c>
      <c r="B47" s="3" t="inlineStr">
        <is>
          <t>One row per year from 73: the mandated amount — past years show taken/(done), future years show '~' amounts labeled estimates because they move with balances and the divisor table.</t>
        </is>
      </c>
      <c r="C47" s="3" t="inlineStr">
        <is>
          <t>EXISTING: rmdAtAge() per projected year using the Uniform Lifetime divisors (src/domain/decumulation/index.ts:100); projection of the pre-tax balance via projectNestEgg (src/domain/retirement/index.ts:198) with the shared plan assumptions.</t>
        </is>
      </c>
      <c r="D47" s="3" t="inlineStr">
        <is>
          <t>per year: age, projected pre-tax balance, divisor, mandated amount, status</t>
        </is>
      </c>
      <c r="E47" s="3" t="inlineStr">
        <is>
          <t>PIN: the schedule's assumptions are the ONE shared plan-assumptions object — adopting a scenario (e.g., a Roth conversion) visibly changes these future rows (F11 propagation).</t>
        </is>
      </c>
    </row>
    <row r="48" ht="46" customHeight="1">
      <c r="A48" s="3" t="inlineStr">
        <is>
          <t xml:space="preserve">   Remind me</t>
        </is>
      </c>
      <c r="B48" s="3" t="inlineStr">
        <is>
          <t>'Remind me in November' schedules a notification ahead of the Dec 31 deadline. Pure logistics; no advice about timing beyond the legal deadline.</t>
        </is>
      </c>
      <c r="C48" s="3" t="inlineStr">
        <is>
          <t>NET-NEW: reuses the app's notification scaffolding (same pattern as the Social Security claim-window reminder).</t>
        </is>
      </c>
      <c r="D48" s="3" t="inlineStr">
        <is>
          <t>reminder date, year</t>
        </is>
      </c>
      <c r="E48" s="3" t="inlineStr">
        <is>
          <t>Same reminder component as the claim-window nudge — one wording pattern.</t>
        </is>
      </c>
    </row>
    <row r="49" ht="46" customHeight="1">
      <c r="A49" s="3" t="inlineStr">
        <is>
          <t xml:space="preserve">   Getting-ready checklist (before 73)</t>
        </is>
      </c>
      <c r="B49" s="3" t="inlineStr">
        <is>
          <t>Four factual readiness items — Social Security decided, paycheck set up, draw order reviewed, health coverage checked — each linking to its screen (health coverage opens a short plain-English note — no dedicated screen in v1). Progress, not pressure.</t>
        </is>
      </c>
      <c r="C49" s="3" t="inlineStr">
        <is>
          <t>EXISTING pattern: planCompleteness() checks (src/domain/completeness/index.ts:15) extended with transition items; rows link to existing screens (SS decision, Cash flow paycheck, draw-order sheet).</t>
        </is>
      </c>
      <c r="D49" s="3" t="inlineStr">
        <is>
          <t>checks[] {label, done, route}</t>
        </is>
      </c>
      <c r="E49" s="3" t="inlineStr">
        <is>
          <t>PIN: item states derive from the same stores the target screens read (e.g., 'Social Security decided' = ssClaimAge set on the shared assumptions) — never a manually-ticked shadow copy.</t>
        </is>
      </c>
    </row>
    <row r="50" ht="56" customHeight="1">
      <c r="A50" s="3" t="inlineStr">
        <is>
          <t xml:space="preserve">   Which accounts this applies to</t>
        </is>
      </c>
      <c r="B50" s="3" t="inlineStr">
        <is>
          <t>'Based on your Fidelity IRA ($415,000) — marked Retirement when you added it [edit]' — the user can SEE which of their accounts the law applies to and fix a wrong tax chip from here.</t>
        </is>
      </c>
      <c r="C50" s="3" t="inlineStr">
        <is>
          <t>EXISTING: taxBucketSplit pre-tax members (src/domain/decumulation/index.ts:10); edit link opens the account editor.</t>
        </is>
      </c>
      <c r="D50" s="3" t="inlineStr">
        <is>
          <t>pre-tax accounts list</t>
        </is>
      </c>
      <c r="E50" s="3" t="inlineStr">
        <is>
          <t>PIN: the listed accounts are exactly the pre-tax bucket the required amount is computed from — a visible input, not a hidden one.</t>
        </is>
      </c>
    </row>
    <row r="51" ht="192" customHeight="1">
      <c r="A51" s="2" t="inlineStr">
        <is>
          <t xml:space="preserve">   STATES</t>
        </is>
      </c>
      <c r="B51" s="3" t="inlineStr">
        <is>
          <t>• Under 73: The required-withdrawal block becomes a plain explainer ('From age 73 the law requires...') with the user's own first-year estimate and start year; the getting-ready checklist leads the screen. A 'Remind me when this starts for me (2031)' button IS offered here — the under-73 visitor's whole reason for coming.
• 73+, not yet taken: As wireframed; the amount also appears in Home's What-needs-you ('$7,660 still to take by Dec 31') until done — same figure, same source.
• Taken in full: 'Done for 2026 (check) — next: ~$16,100 in 2027.' Calm; no badge fireworks.
• Hidden balances: Dollar amounts mask to dots; ages, deadlines, and checklist stay visible.</t>
        </is>
      </c>
      <c r="C51" s="4" t="n"/>
      <c r="D51" s="4" t="n"/>
      <c r="E51" s="4" t="n"/>
    </row>
    <row r="52" ht="46" customHeight="1"/>
    <row r="53" ht="337.5" customHeight="1">
      <c r="A53" s="5" t="inlineStr">
        <is>
          <t>▶ Use this plan (adoption sheet -- shared component)  ·  lens: both</t>
        </is>
      </c>
      <c r="B53" s="6" t="inlineStr">
        <is>
          <t>The founder's non-negotiable: before anything changes, see exactly what changes; after it changes, one tap gets you back. — One shared sheet every scenario ends in. Preview the exact old-to-new list, confirm to write to the ONE shared assumptions source, and promise (then deliver) a one-tap way back.</t>
        </is>
      </c>
      <c r="C53" s="7" t="n"/>
      <c r="D53" s="7" t="n"/>
      <c r="E53" s="7" t="n"/>
      <c r="F53" s="7" t="n"/>
      <c r="G53" s="7" t="n"/>
    </row>
    <row r="54" ht="46" customHeight="1">
      <c r="A54" s="8" t="inlineStr">
        <is>
          <t>WIREFRAME</t>
        </is>
      </c>
      <c r="B54" s="9" t="inlineStr">
        <is>
          <t>+------------------------------+
|        Use this plan?        |
|                              |
| Here is exactly what changes |
|                              |
|  Claim Social Security       |
|    age 62   -&gt;   age 67      |
|  Monthly benefit             |
|    $1,820   -&gt;   $2,600      |
|  Benefit starts              |
|    2028     -&gt;   2033        |
|  Will-it-last                |
|    79%      -&gt;   84%         |
|                              |
| Where you'll see it          |
|  * Home -- will-it-last strip|
|  * Cash flow -- months from  |
|    2033 show the new deposit |
|  * Plan -- will-it-last and  |
|    the decision list         |
|                              |
| You can undo this anytime:   |
| Plan &gt; Back to previous plan |
|                              |
| [ Make this my plan ]        |
| [ Keep my current plan ]     |
+------------------------------+</t>
        </is>
      </c>
      <c r="C54" s="3" t="inlineStr">
        <is>
          <t>BUILD NOTE:
This sheet is THE v1.1 addition and is one shared component -- Social Security, multi-goal, Roth, and the cockpit's 'Use as my plan' (RetirementCockpit.tsx ~:236, which today writes silently with no preview or undo) all route through it. Retiring the silent write path is part of the definition of done.</t>
        </is>
      </c>
      <c r="D54" s="3" t="inlineStr">
        <is>
          <t>INTERACTIONS:
Confirm -&gt; write + toast + dismiss. Keep-my-current-plan -&gt; dismiss, sandbox intact so the user can keep tweaking. Sheet is dismissible by swipe-down (counts as Keep current). Revert reachable from hub and from the post-adoption toast for the session.</t>
        </is>
      </c>
      <c r="E54" s="3" t="inlineStr">
        <is>
          <t>ACCESSIBILITY:
Arrows in the diff are supplemented with 'changes from ... to ...' for screen readers. Buttons named by outcome ('Make this my plan'), never bare 'OK/Cancel'. Focus lands on the change-list heading when the sheet opens. Minimum 44-point targets.</t>
        </is>
      </c>
    </row>
    <row r="55" ht="46" customHeight="1">
      <c r="A55" s="3" t="inlineStr">
        <is>
          <t xml:space="preserve">   Old-to-new change list</t>
        </is>
      </c>
      <c r="B55" s="3" t="inlineStr">
        <is>
          <t>Every field that will change, in plain words, old value -&gt; new value -- including the resulting will-it-last shift. Nothing not listed changes.</t>
        </is>
      </c>
      <c r="C55" s="3" t="inlineStr">
        <is>
          <t>NET-NEW: F11 composer -- scenarioDiff(currentAssumptions, patch) builds rows {plain label, old, new, unit}. 'Old' reads retirementAssumptions verbatim (src/store/useStore.ts:233); 'new' is the exact patch that will be written -- the preview and the write share ONE payload, so they cannot disagree.</t>
        </is>
      </c>
      <c r="D55" s="3" t="inlineStr">
        <is>
          <t>diff rows; the patch object itself</t>
        </is>
      </c>
      <c r="E55" s="3" t="inlineStr">
        <is>
          <t>PIN (the load-bearing one): preview values = written values, by construction -- the confirm handler passes the same patch object it rendered to setRetirementAssumptions (src/store/useStore.ts:628). A contract test asserts render-payload equals write-payload.</t>
        </is>
      </c>
    </row>
    <row r="56" ht="46" customHeight="1">
      <c r="A56" s="3" t="inlineStr">
        <is>
          <t xml:space="preserve">   Where-you'll-see-it list</t>
        </is>
      </c>
      <c r="B56" s="3" t="inlineStr">
        <is>
          <t>Per adoption, the modules that will look different and how, in one line each (Home top number, Cash flow future months, Plan hub, and Net worth's projection when relevant). Sets expectations before the tap.</t>
        </is>
      </c>
      <c r="C56" s="3" t="inlineStr">
        <is>
          <t>NET-NEW: F11 propagation map (see engine spec) -- a static table from assumption field to affected surfaces; the sheet filters it to the fields in this patch.</t>
        </is>
      </c>
      <c r="D56" s="3" t="inlineStr">
        <is>
          <t>field -&gt; [surface, what changes] rows</t>
        </is>
      </c>
      <c r="E56" s="3" t="inlineStr">
        <is>
          <t>PIN: this list is generated from the same propagation table the engineering wiring implements -- if a surface reads the field, it is on the list; the map is the contract, not marketing copy.</t>
        </is>
      </c>
    </row>
    <row r="57" ht="46" customHeight="1">
      <c r="A57" s="3" t="inlineStr">
        <is>
          <t xml:space="preserve">   Undo promise + Make-this-my-plan / Keep-my-current-plan buttons</t>
        </is>
      </c>
      <c r="B57" s="3" t="inlineStr">
        <is>
          <t>A sentence stating exactly where undo lives, then two equal-weight buttons -- confirm is not visually louder than cancel (no dark-pattern nudging; you decide).</t>
        </is>
      </c>
      <c r="C57" s="3" t="inlineStr">
        <is>
          <t>NET-NEW: F11 adoptPlan(patch, label): (1) push a full snapshot of current assumptions onto planHistory with label + date, (2) setRetirementAssumptions(patch) (src/store/useStore.ts:628), (3) every subscribed screen re-derives. Revert = setRetirementAssumptions(whole snapshot).</t>
        </is>
      </c>
      <c r="D57" s="3" t="inlineStr">
        <is>
          <t>planHistory entry {snapshot, label, date}; patch</t>
        </is>
      </c>
      <c r="E57" s="3" t="inlineStr">
        <is>
          <t>PIN: revert restores every field of the snapshot, then the same agreement test that verified adoption verifies the restore -- round-trip adopt-then-revert leaves every screen byte-identical.</t>
        </is>
      </c>
    </row>
    <row r="58" ht="56" customHeight="1">
      <c r="A58" s="3" t="inlineStr">
        <is>
          <t xml:space="preserve">   Post-adoption confirmation</t>
        </is>
      </c>
      <c r="B58" s="3" t="inlineStr">
        <is>
          <t>After confirm: brief toast 'This is your plan now', the source screen flips to its adopted state, and the hub gains 'Back to previous plan (saved Jul 2)'.</t>
        </is>
      </c>
      <c r="C58" s="3" t="inlineStr">
        <is>
          <t>NET-NEW: F11 -- confirmation reads the just-written store values (not the sheet's memory) as a live proof the write landed.</t>
        </is>
      </c>
      <c r="D58" s="3" t="inlineStr">
        <is>
          <t>toast text from store re-read; hub revert row from planHistory[0]</t>
        </is>
      </c>
      <c r="E58" s="3" t="inlineStr">
        <is>
          <t>PIN: the confirmation shows the new will-it-last percent pulled through the same selector the hub uses -- if they differ, the write failed and we say so instead of pretending.</t>
        </is>
      </c>
    </row>
    <row r="59" ht="144" customHeight="1">
      <c r="A59" s="2" t="inlineStr">
        <is>
          <t xml:space="preserve">   STATES</t>
        </is>
      </c>
      <c r="B59" s="3" t="inlineStr">
        <is>
          <t>• Preview (default): Sheet over the scenario screen; scrollable if the change list is long; nothing written yet.
• Confirmed: Write, snapshot pushed, toast, sheet dismisses back to the source screen in its adopted state.
• Revert flow: 'Back to previous plan' opens this same sheet with the reverse diff ('what switches back'), same two-button pattern -- undo gets the same honesty as do.
• Hidden balances: Dollar values in the diff mask to dots; ages, dates, and percents stay so the user can still verify what changes.</t>
        </is>
      </c>
      <c r="C59" s="4" t="n"/>
      <c r="D59" s="4" t="n"/>
      <c r="E59" s="4" t="n"/>
    </row>
    <row r="60" ht="46" customHeight="1"/>
    <row r="61" ht="350" customHeight="1">
      <c r="A61" s="5" t="inlineStr">
        <is>
          <t>▶ Will-it-last detail  ·  lens: both</t>
        </is>
      </c>
      <c r="B61" s="6" t="inlineStr">
        <is>
          <t>Open the hood on the one number: what it means, the honest range, what moves it, and every assumption behind it with an edit link. — The canonical number's one explanation page: plain meaning, the best-to-worst band, ranked drivers (descriptive what-ifs, not advice), and the full assumptions list with sources and edit links.</t>
        </is>
      </c>
      <c r="C61" s="7" t="n"/>
      <c r="D61" s="7" t="n"/>
      <c r="E61" s="7" t="n"/>
      <c r="F61" s="7" t="n"/>
      <c r="G61" s="7" t="n"/>
    </row>
    <row r="62" ht="46" customHeight="1">
      <c r="A62" s="8" t="inlineStr">
        <is>
          <t>WIREFRAME</t>
        </is>
      </c>
      <c r="B62" s="9" t="inlineStr">
        <is>
          <t>+------------------------------+
| &lt; Plan   Will my money last?       |
|                              |
|  Likely -- 84%               |
|  In 84 of 100 possible       |
|  market futures, your money  |
|  lasts to age 92.            |
|                              |
|  [ balance-over-time chart ] |
|  [ low / typical / high  ]   |
|  bad markets: 71%  good: 95% |
|                              |
| What moves it most           |
|  1. Monthly spending $6,200  |
|     -$500 -&gt; 89%             |
|  2. Retire age 67            |
|     +1 year -&gt; 87%           |
|  3. Social Security at 67    |
|     at 70 -&gt; 88%             |
|                              |
| Your assumptions      (edit) |
|  Spending $6,200   you set   |
|  Return   5.5%     estimate  |
|  Inflation 2.6%    estimate  |
|  Lives to  92      you set   |
|                              |
| Sharpen your plan  6 of 9  &gt; |
+------------------------------+</t>
        </is>
      </c>
      <c r="C62" s="3" t="inlineStr">
        <is>
          <t>BUILD NOTE:
Engine fully EXISTS (simulate with band, completeness, fallback derivations). NET-NEW: this screen, the sensitivity sweep, source tagging (null-field check is trivial), and routing edits through the one-row preview instead of the silent write the cockpit does today.</t>
        </is>
      </c>
      <c r="D62" s="3" t="inlineStr">
        <is>
          <t>INTERACTIONS:
Tap a driver -&gt; its scenario screen pre-set to that nudge (trying it out). Tap an assumption's edit -&gt; inline editor with a one-row old-to-new preview before writing. Chart supports a horizontal age scrub with values read out as text.</t>
        </is>
      </c>
      <c r="E62" s="3" t="inlineStr">
        <is>
          <t>ACCESSIBILITY:
Chart lines are labeled bad/typical/good in words on the plot, never color-only; a text table alternative sits behind 'view as numbers'. Source tags are text. Drivers are an ordered list for screen readers. Meaning sentence targets grade-6 reading level.</t>
        </is>
      </c>
    </row>
    <row r="63" ht="46" customHeight="1">
      <c r="A63" s="3" t="inlineStr">
        <is>
          <t xml:space="preserve">   Chance headline + plain meaning</t>
        </is>
      </c>
      <c r="B63" s="3" t="inlineStr">
        <is>
          <t>'Likely -- 84%' plus one sentence: 'In 84 of 100 possible market futures, your money lasts to age 92.' Never 'you will be fine.'</t>
        </is>
      </c>
      <c r="C63" s="3" t="inlineStr">
        <is>
          <t>EXISTING: simulate() (src/domain/retirement/index.ts:115) -- it runs many possible market futures with a fixed seed, so the number is stable between visits.</t>
        </is>
      </c>
      <c r="D63" s="3" t="inlineStr">
        <is>
          <t>chance_of_success; horizonAge for the sentence</t>
        </is>
      </c>
      <c r="E63" s="3" t="inlineStr">
        <is>
          <t>PIN: identical to the hub, Home hero, and Cash flow strip -- one selector, agreement-tested. This screen explains the number; it never re-derives a different one.</t>
        </is>
      </c>
    </row>
    <row r="64" ht="46" customHeight="1">
      <c r="A64" s="3" t="inlineStr">
        <is>
          <t xml:space="preserve">   Balance band chart (low / typical / high)</t>
        </is>
      </c>
      <c r="B64" s="3" t="inlineStr">
        <is>
          <t>Projected balance by age as three labeled lines: a bad-markets path, the typical path, and a good-markets path, with the bad-to-good chance range (71%-95%) written as text under it.</t>
        </is>
      </c>
      <c r="C64" s="3" t="inlineStr">
        <is>
          <t>EXISTING: simulate() with with_band=true returns per-age band points (the BandPoint list: age with low/typical/high balances) -- already built for this.</t>
        </is>
      </c>
      <c r="D64" s="3" t="inlineStr">
        <is>
          <t>BandPoint[] {age, p10 as 'bad markets', p50 as 'typical', p90 as 'good markets'}</t>
        </is>
      </c>
      <c r="E64" s="3" t="inlineStr">
        <is>
          <t>PIN: the band's endpoint at the plan-to age is consistent with the chance headline (both from the SAME simulation run, not two runs).</t>
        </is>
      </c>
    </row>
    <row r="65" ht="46" customHeight="1">
      <c r="A65" s="3" t="inlineStr">
        <is>
          <t xml:space="preserve">   What-moves-it-most list</t>
        </is>
      </c>
      <c r="B65" s="3" t="inlineStr">
        <is>
          <t>Top three levers ranked by effect, each with a descriptive one-liner: 'Spending $500 less -&gt; 89%.' Wording is what-happens-if; the user picks what to touch.</t>
        </is>
      </c>
      <c r="C65" s="3" t="inlineStr">
        <is>
          <t>NET-NEW: F11 sensitivity sweep -- re-run simulate() a handful of times, each with one assumption nudged a standard step, rank by chance delta. Deterministic (seeded), so the ranking is stable.</t>
        </is>
      </c>
      <c r="D65" s="3" t="inlineStr">
        <is>
          <t>per lever: assumption, nudge size, resulting chance</t>
        </is>
      </c>
      <c r="E65" s="3" t="inlineStr">
        <is>
          <t>PIN: tapping a lever opens the matching scenario screen pre-set to that nudge, which reproduces the same resulting percent -- the teaser and the tool share one engine.</t>
        </is>
      </c>
    </row>
    <row r="66" ht="46" customHeight="1">
      <c r="A66" s="3" t="inlineStr">
        <is>
          <t xml:space="preserve">   Assumptions table with sources + edit links</t>
        </is>
      </c>
      <c r="B66" s="3" t="inlineStr">
        <is>
          <t>Every input behind the number -- spending, retire age, plan-to age, return, inflation, Social Security amount and claim age, monthly saving -- each tagged 'you set it' or 'estimated from your data', each with an edit link.</t>
        </is>
      </c>
      <c r="C66" s="3" t="inlineStr">
        <is>
          <t>EXISTING: retirementAssumptions fields (src/store/useStore.ts:427); null fields fall back to derived values (e.g. retirementSpendMonthly() in src/domain/retirement/index.ts:48), which is exactly what the 'estimated from your data' tag means. Edits write via setRetirementAssumptions (:628) AFTER a one-row version of the adoption preview.</t>
        </is>
      </c>
      <c r="D66" s="3" t="inlineStr">
        <is>
          <t>field, value, source tag (user-set = field non-null; estimated = fallback used), edit route</t>
        </is>
      </c>
      <c r="E66" s="3" t="inlineStr">
        <is>
          <t>PIN: values here = values the simulation actually consumed this run (rendered from the resolved input set, not re-read separately), so the explanation can never drift from the math.</t>
        </is>
      </c>
    </row>
    <row r="67" ht="56" customHeight="1">
      <c r="A67" s="3" t="inlineStr">
        <is>
          <t xml:space="preserve">   Sharpen-your-plan meter</t>
        </is>
      </c>
      <c r="B67" s="3" t="inlineStr">
        <is>
          <t>'6 of 9' with the next best item named ('Add your pension to firm this up').</t>
        </is>
      </c>
      <c r="C67" s="3" t="inlineStr">
        <is>
          <t>EXISTING: planCompleteness() (src/domain/completeness/index.ts:15) + SharpenPlanScreen.tsx.</t>
        </is>
      </c>
      <c r="D67" s="3" t="inlineStr">
        <is>
          <t>doneCount, total, first undone check</t>
        </is>
      </c>
      <c r="E67" s="3" t="inlineStr">
        <is>
          <t>PIN: same count as the hub and SharpenPlanScreen -- one helper.</t>
        </is>
      </c>
    </row>
    <row r="68" ht="144" customHeight="1">
      <c r="A68" s="2" t="inlineStr">
        <is>
          <t xml:space="preserve">   STATES</t>
        </is>
      </c>
      <c r="B68" s="3" t="inlineStr">
        <is>
          <t>• Nothing captured: Shows the three starter questions inline (age, monthly spending, savings today) and builds the first estimate right here -- this screen doubles as the friendly first-run.
• Estimate ready: Full page as wireframed; 'estimate' appears with the headline and the band.
• Post-adoption: A quiet 'updated just now -- includes claim at 67' line under the headline for the session, linking to Back to previous plan.
• Hidden balances: Chart's dollar axis and assumption dollar values mask; percentages, ages, and the drivers' deltas remain.</t>
        </is>
      </c>
      <c r="C68" s="4" t="n"/>
      <c r="D68" s="4" t="n"/>
      <c r="E68" s="4" t="n"/>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4"/>
  <sheetViews>
    <sheetView workbookViewId="0">
      <pane ySplit="1" topLeftCell="A12" activePane="bottomLeft" state="frozen"/>
      <selection activeCell="A24" sqref="A24"/>
      <selection pane="bottomLeft" activeCell="A24" sqref="A24"/>
    </sheetView>
  </sheetViews>
  <sheetFormatPr baseColWidth="10" defaultColWidth="8.83203125" defaultRowHeight="15"/>
  <cols>
    <col width="32" customWidth="1" min="1" max="1"/>
    <col width="12" customWidth="1" min="2" max="2"/>
    <col width="108" customWidth="1" min="3" max="3"/>
    <col width="11" customWidth="1" min="4" max="4"/>
    <col width="26" customWidth="1" min="5" max="5"/>
    <col width="58" customWidth="1" min="6" max="6"/>
  </cols>
  <sheetData>
    <row r="1" ht="26" customHeight="1">
      <c r="A1" s="1" t="inlineStr">
        <is>
          <t>Engine</t>
        </is>
      </c>
      <c r="B1" s="1" t="inlineStr">
        <is>
          <t>Owned by tab</t>
        </is>
      </c>
      <c r="C1" s="1" t="inlineStr">
        <is>
          <t>Specification (plain English)</t>
        </is>
      </c>
      <c r="D1" s="1" t="inlineStr">
        <is>
          <t>✅ Approve?</t>
        </is>
      </c>
      <c r="E1" s="1" t="inlineStr">
        <is>
          <t>💬 Your comments</t>
        </is>
      </c>
      <c r="F1" s="16" t="inlineStr">
        <is>
          <t>🔨 Build status · 2026-07-14 (Build #41 · v1.1.0 on TestFlight)</t>
        </is>
      </c>
    </row>
    <row r="2" ht="400" customHeight="1">
      <c r="A2" s="2" t="inlineStr">
        <is>
          <t>F5 safe-to-spend paycheck engine</t>
        </is>
      </c>
      <c r="B2" s="3" t="inlineStr">
        <is>
          <t>Cash flow</t>
        </is>
      </c>
      <c r="C2" s="3" t="inlineStr">
        <is>
          <t>WHAT IT IS
One engine that builds a retiree's real paycheck, month by dated month, for the next 12 months, plus a this-year total. It answers 'how much is safe to spend in November 2026?' with November 2026's actual facts — not an average.
THE FLAW IT FIXES (verified in code)
Today the retirement math treats income as flat. simulate() in src/domain/retirement/index.ts takes guaranteed_monthly_income as a single flat monthly number, and retirementIncomeMonthly in src/domain/income/onboarding.ts converts every source to a per-month average (an annual pension payout divided by 12). So a pension lump paid each December is smeared across the year, and a November property tax never dents November. Separately, buildIncomeState's month grid in src/domain/income/calc.ts hardcodes one-time income into January (m[0]) and annual income into December (m[11]) regardless of reality. F5 replaces all of that with real placement on the F2 dated grid.
THE OUTPUT (per user, recomputed as needed)
For each of the 12 dated months in the F2 window (e.g. Jul 2026 … Jun 2027):
- guaranteed: a list of named sources with amounts landing THAT month — e.g. [{source:'Social Security', amount:2600, day:3}, {source:'Pension', amount:1600, day:1}]. Each source keeps its own rhythm: monthly sources land every month; quarterly sources land in their four real months; annual sources land in their one real month (a new 'which month' field per source, defaulting to the month the user said it arrives — never a December-by-default). Sources only count when the user actually receives them now (the existing currentRetirementIncomeMonthly gate).
- safeDraw: the level monthly draw from savings (derivation below). Level by design — the draw is the steadying flywheel; the LUMPY parts are the guaranteed income and the bills.
- bills: the dated big bills landing that month — non-monthly spending categories in their months (spendByMonth placement + upcomingBills day-level dates) plus any deferred-debt first payments from their real start month (new first_payment_date field).
- netSafeToSpend = sum(guaranteed) + safeDraw − sum(bills). This is the month's paycheck. Everyday monthly bills are NOT subtracted — they are what the paycheck is for.
Plus a rollup: thisMonth (current cell), thisYear (exact sum of the 12 cells — never an average times 12), and per-source year totals.
HOW THE SAFE DRAW IS DERIVED
1. Nest egg = live balances: taxBucketSplit over the retirement-earmarked portion of every account (taxBucketSplit + earmarkedAmount, src/domain/decumulation/index.ts and src/domain/assets). Because it reads live balances, the draw MOVES when balances move.
2. Sustainable draw = the largest level monthly draw that keeps the will-it-last simulation (simulate, src/domain/retirement/index.ts — same seeded run Plan uses) at or above the 'Likely' threshold (chance of success ≥ 80). Found by a short binary search over the draw amount (about 8 seeded simulation runs; deterministic, so testable). Assumptions (plan-to age, returns, inflation) are ADOPTED from Plan — Plan is the single home for assumptions; F5 never invents its own.
3. Sanity band: the result is cross-checked against withdrawalPlan's rate-vs-4%-guideline (src/domain/decumulation/index.ts); if the solved draw implies a rate the guideline calls high, the UI adds a gentle word ('on the high side of the usual guideline') — inform, never advise.
4. The draw is always labeled an estimate. It changes only when its inputs change; small balance wiggles below a threshold (e.g. 0.5%) do not thrash the number day to day.
RECOMPUTE TRIGGERS (event-driven, then cached)
- A balance changes (account sync or manual edit) → nest egg changed → re-solve the draw, rebuild the cells.
- A bill is added, edited, or removed (dated bill or a debt with a first payment date) → rebuild the affected cells.
- A guaranteed-income source is added or its amount/rhythm/month changes → rebuild.
- The user adopts a changed assumption in Plan (retire age, spending, plan-to age) → re-solve.
- The user saves a new draw order in the steer sheet → re-run the order-aware pieces (which accounts, tax drag, lasts-to age).
- The month rolls over → the F2 window slides one month; the cell that was 'next July' becomes month 12's new sibling.
INTERACTION WITH F2 (the dated grid)
F5 does not own a calendar. It writes its rows — guaranteed income by source, the safe draw, dated bills — into the F2 canonical grid's cells, and reads the cells back to render. The working lens fills the SAME grid from the working-income placement rules instead. One grid; the lens only changes which rows fill it. Sameness pin: the hero, the bars, the month detail, and the bill calendar are all views of the same cells, enforced by one agreement test.
EDGE CASES
- No guaranteed income captured: the paycheck is safeDraw − bills, plus a calm prompt to add Social Security or a pension. Never show $0 guaranteed as if it were a fact about their life.
- No savings captured (or nest egg $0): safe draw is $0 with a plain explanation; guaranteed income still builds a real paycheck.
- Mid-year start: the window always starts at the CURRENT month (July 2026 → June 2027); nothing assumes January.
- Year wrap: labels carry the year across the wrap ('Dec 26' then 'Jan 27') — behavior already proven in cashflowYear's label logic.
- Negative month: a month where bills exceed income shows a real minus with a word+icon flag and one sentence naming the bill and whether the year still covers it. Never clipped to zero, never color-only.
- Age 73+: the required-by-law withdrawal from pre-tax accounts (rmdAtAge) is surfaced in the draw-order module and counted inside the draw, not added on top — no double counting.
- Stale balances: every number derived from balances carries an 'as of' date when the newest linked-account sync is older than the threshold; the tone stays calm and factual.
- Hidden balances: the engine still runs; the UI masks dollars but keeps shape, flags, and words.
GUARANTEED — EXACT DEFINITION (added at strategy-trace review; prevents double counting): guaranteed = ri_ss + ri_pension + ri_annuities + ri_other, received-now only. ri_withdrawals and ri_rmd are EXCLUDED from guaranteed income — the solved safe draw and the pinned required withdrawal REPLACE them, so a savings-draw is never counted twice in the paycheck. The B-31 snapshot pin (snapshot.guaranteed_monthly_income) aligns to this definition. NOTED v1 BOUNDARIES (strategy trace): a big purchase's effect on WHICH account gets tapped shows only via the steer-sheet re-run; overspend-vs-paycheck tracking is scenario-path only ('try it in Plan') — both named boundaries, phase-2 candidates.</t>
        </is>
      </c>
      <c r="F2" s="4" t="inlineStr">
        <is>
          <t>✅ Built + projection mode (the working-lens future-paycheck card)</t>
        </is>
      </c>
    </row>
    <row r="3" ht="400" customHeight="1">
      <c r="A3" s="2" t="inlineStr">
        <is>
          <t>F2 dated rolling 12-month canonical grid</t>
        </is>
      </c>
      <c r="B3" s="3" t="inlineStr">
        <is>
          <t>Cash flow</t>
        </is>
      </c>
      <c r="C3" s="3" t="inlineStr">
        <is>
          <t>WHAT IT IS
THE one month-by-month model for the whole app: 12 cells, each a real dated month, starting at the current month and crossing the year boundary (July 2026 → June 2027). Every by-month surface — Cash flow bars, Bill calendar rows, Month detail, Home glance, Plan's cash views — reads these cells. No surface computes its own months.
WHERE IT COMES FROM
Promoted, not invented: cashflowYear in src/domain/cashflow/index.ts already does the hard parts — a rolling window anchored to the current month, next-occurrence placement for month-only items, explicit month+year placement via its slotForMY helper, year-wrap labels ('Jan \u201927'), a running balance, short-month detection, and a counter for items falling beyond the window. F2 lifts this from one screen's engine to the app's canonical grid and widens what it can hold.
DATA MODEL (one cell per month, 12 cells)
{ calendarMonth (1-12), year (e.g. 2027), label ('Jan 27'), incomeItems: [{source, amount, day?}], billItems: [{label, amount, day?, kind: bill|debt}], inflow, outflow, net, runningBalance }. The window slides forward when the month rolls over. Items dated beyond the window are kept in a 'later' list with their full dates — visible, never silently dropped.
PLACEMENT RULES (every cadence, stated once)
- Monthly (salary months, rent, Social Security monthly): every cell. Salary honors the per-month table (salaryGrossByMonth — a $0 month is a real gap).
- Weekly / every-two-weeks: shown as their monthly equivalent in every cell (52/12 and 26/12 — same arithmetic income/calc.ts uses today), labeled 'about'.
- Quarterly: its four REAL months, anchored to the source's stated start month — replacing calc.ts's hardcoded March/June/September/December.
- Annual (bonus, an annual pension payout, an insurance premium): its ACTUAL month — bonus already has a chosen month (bonusMonth, honored by incomeMonthlyGrid in src/domain/income/onboarding.ts); other annual items get a 'lands in' month field — replacing calc.ts's December default (m[11]).
- One-time: its REAL date (a date field on one-time items) — replacing calc.ts's January default (m[0]) and cashflowYear's signing-bonus-lands-now shortcut. If the date is past the window it sits in 'later'.
- Equity vesting: spread across the months its vest dates fall in (rsuGrants dates — logic already in incomeMonthlyGrid and cashflowYear's equityByMonth).
- Benefits: only their active months (benefitActiveMonths).
- Retired guaranteed income: per source, per its rhythm and its month/day (written by F5).
- Everyday monthly bills: every cell (spendByMonth's monthly bucket + uncategorized spread).
- Dated big bills: their chosen months and due day; one-off bills also carry a YEAR (net-new field — the grid's slotForMY already accepts month+year; today only scholarship/loan items use it).
- Debt payments: requiredPayment (src/domain/debt/index.ts) placed monthly on due_day, STARTING at max(today, first_payment_date) — the net-new deferred-debt field — and ENDING at payoff_date. Annual-rhythm debts land in their one month. payoffPlan is updated to start a deferred debt's payments at its first payment month while interest accrues from today, so the debt-free date is honest.
WHICH EXISTING GRIDS COLLAPSE INTO IT (all are undated January→December today)
- buildIncomeState's monthly_cash_flow_grid (src/domain/income/calc.ts) — with its January/December hardcoding retired.
- incomeMonthlyGrid (src/domain/income/onboarding.ts) — its placement rules survive as F2's income rules; the function becomes a reader of F2.
- spendByMonth and savingsByMonth (src/domain/budget/index.ts) — spend placement survives as F2's bill rules.
- surplusByMonth (src/domain/savings/index.ts) — becomes cell.net after debt rows.
- cashflowYear's internal build (src/domain/cashflow/index.ts) — becomes F2 itself.
- upcomingBills stays as the day-level lens over the same bill items (it answers 'will the money be there two days early?', which is finer than a month cell).
Annual totals (PERIODS_PER_YEAR, totalGrossAnnual, annualCashflow) are unchanged in meaning and must equal the sum of the cells — that equality is itself a pinned test.
SAMENESS CONTRACT (new pins, v1.1)
1) One grid: every by-month surface renders F2 cells; a repo guard fails if a screen computes its own 12-month array.
2) Dated everywhere: every by-month label carries month AND year across the wrap.
3) Real placement: one test walks a bonus (chosen month), a vest (its months), a one-time item (its real date), an annual pension (its month), and a deferred debt (its first payment month) through Home, Cash flow, Bill calendar, Month detail, and Plan — same month everywhere, by construction and by test.</t>
        </is>
      </c>
      <c r="F3" s="4" t="inlineStr">
        <is>
          <t>✅ Built — every by-month surface reads its cells</t>
        </is>
      </c>
    </row>
    <row r="4" ht="196" customHeight="1">
      <c r="A4" s="2" t="inlineStr">
        <is>
          <t>F11 scenario composer + adoption contract</t>
        </is>
      </c>
      <c r="B4" s="3" t="inlineStr">
        <is>
          <t>Plan</t>
        </is>
      </c>
      <c r="C4" s="3" t="inlineStr">
        <is>
          <t>WHAT IT IS: the shared machinery under every Plan scenario -- sandbox first, explicit preview, one write target, one-tap way back.
1) ONE SHARED SOURCE. The single source of truth for plan assumptions is the store's retirementAssumptions object (src/store/useStore.ts:233; fields at :427: retireAge, horizonAge, contribMonthly, spendMonthly, guaranteedMonthly, risk, expectedReturn, inflation, ssEligible, ssMonthly, ssClaimAge). v1 extends it with: commitments[] (adopted goal bundles from the multi-goal composer), rothConversionThisYear, and planHistory (revert snapshots). HONEST CURRENT STATE: today this object is read ONLY by RetirementCockpit and SharpenPlanScreen -- Net worth, Invest, and Cash flow ignore it entirely. Wiring them to read it is the core net-new build of F11, not an afterthought.
2) SCENARIO OVERLAY MODEL. A scenario is never a copy of the plan; it is a small patch of only the fields being tried, laid over a snapshot of the current assumptions. Screens render preview = current + patch, computed locally. Nothing writes to the store while exploring (formalizing the sandbox pattern RetirementCockpit already uses with local slider state, ~:193-198, as a reusable useScenario() hook). 'Save scenario' stores the patch via the existing saveRetirementScenario action (src/store/useStore.ts:630-635) -- bookmark only, plan untouched.
3) DIFF / PREVIEW GENERATION. scenarioDiff(currentAssumptions, patch) -&gt; rows {plain-English label, old value, new value, unit} plus the derived will-it-last shift. The adoption sheet renders exactly these rows, and the confirm handler writes exactly this patch object -- preview and write share ONE payload, so they cannot disagree; a contract test asserts rendered payload equals written payload.
4) ADOPTION WRITE + REVERT. adoptPlan(patch, label): (a) push {full snapshot of current assumptions, label, date} onto planHistory (keep last 5); (b) setRetirementAssumptions(patch) (src/store/useStore.ts:628) -- the one and only write; (c) all subscribed screens re-derive automatically. revertPlan(): setRetirementAssumptions(newest snapshot, whole object), shown through the same sheet with the reverse diff. Round-trip test: adopt then revert leaves every screen identical. The cockpit's existing silent 'Use as my plan' write (RetirementCockpit.tsx ~:236) is retired -- it must route through this sheet.
5) PROPAGATION MAP (the founder's 'feeds Net worth, Invest, and Cash flow' answer -- this table IS the wiring contract, and the adoption sheet's 'where you'll see it' list is generated from it). Worked example, adopting Social-Security-at-67: * PLAN hub -- will-it-last updates (84%); decision row chip becomes 'your plan: claim at 67'; Back-to-previous-plan appears. * HOME -- hero strip shows the same new 84% via the same selectWillItLast selector; no separate math. * CASH FLOW -- the F5 paycheck engine ADOPTS its assumptions from Plan: it reads ssClaimAge + guaranteedMonthly from this one object, so months from the claim date show the new $2,600 deposit; months before it are unchanged; the will-it-last strip updates. * NET WORTH -- the future projection band re-runs from the new assumptions (projectNestEgg, src/domain/retirement/index.ts:198); TODAY'S balances never move -- adoption changes the future, never recorded facts. * INVEST -- shows the planned monthly contribution if the patch changed contribMonthly; holdings and performance untouched. General rule: adoption changes plan-derived futures everywhere, and never edits actuals (transactions, balances, history).
6) STATES CARRIED BY THE ENGINE: sandbox banner text ('this won't change your plan until you tap Use this plan') is supplied by useScenario() so every scenario screen says it identically; post-adoption confirmation re-reads the store (proof the write landed) rather than trusting the sheet's memory.</t>
        </is>
      </c>
      <c r="F4" s="4" t="inlineStr">
        <is>
          <t>✅ Core built — adoptPlan/revertPlan/planHistory + the shared sheet</t>
        </is>
      </c>
    </row>
    <row r="5" ht="196" customHeight="1">
      <c r="A5" s="2" t="inlineStr">
        <is>
          <t>F4 multi-goal weigher</t>
        </is>
      </c>
      <c r="B5" s="3" t="inlineStr">
        <is>
          <t>Plan</t>
        </is>
      </c>
      <c r="C5" s="3" t="inlineStr">
        <is>
          <t>WHAT IT IS: the engine that runs several goals AT ONCE -- something the code cannot do today (single-goal math only) -- and returns two verdicts: can this month's money cover it, and what it does to retirement.
1) INPUTS. Goal rows from the goals store (seeded by seedGoals, src/store/useStore.ts:583, built by goalsFromOnboarding, src/domain/goals/index.ts:51): each toggled goal contributes {monthlyAmount from its slider, optional target and end date}. Dated goals get finish dates from monthsToGoal (src/domain/goals/index.ts:116) / requiredMonthly (:108). The extra-on-debt row is special-cased through payoffPlan (src/domain/debt/index.ts:96) to get payoff month + interest saved. The 'keep saving for retirement' row is a first-class dial that maps to contribMonthly. Monthly capacity comes from availableToSaveSummary (src/domain/goals/index.ts:70) -- the SAME number the Cash flow tab shows (pinned by an agreement test).
2) CAPACITY MATH. committed = sum of toggled monthly amounts (retirement dial included). verdict = capacity - committed -&gt; 'Covered, with $X to spare' or 'Short $X a month this year'. 'Where the money goes' is a stacked plain list: income in, essentials, each goal by name, what's left. No hidden netting -- the rows visibly sum.
3) COMBINATION VERDICT OVER TIME. Goals are not forever: the college fund ends Aug 2031, the debt extra ends at payoff (from payoffPlan). The weigher builds a simple year-by-year picture where a finished goal's money returns to available capacity. v1 keeps this deliberately simple -- annual contribution to retirement equals the retirement dial while other goals run, stepping up as each dated goal ends; open-ended goals (help parents) run to a user-set end age with a visible assumption chip.
4) WILL-IT-LAST HOOK. Retirement effect uses the EXISTING engines, never a parallel formula: chance via simulate() (src/domain/retirement/index.ts:115) and retire age via solveRetireAge (:225), both fed with the retirement dial (times 12) as the contribution and everything else from the shared assumptions object. Before/after panel: 'before' = current adopted plan through selectWillItLast (so it always equals the hub); 'after' = the sandbox combination. Trim-one hints re-run the same math with one dial reduced a standard step (e.g. to 60%) -- deterministic because simulate() is seeded -- and are worded descriptively ('Parents at $1,500: retire 68, chance 81%'), never as advice; tapping a hint just moves that slider.
5) ADOPTION. 'Use this plan' hands F11 the patch {contribMonthly = retirement dial, commitments = toggled rows with label, monthlyAmount, endDate}. Downstream per the propagation map: each commitment appears as a named planned monthly line in Cash flow's F5 paycheck view; the hub's will-it-last and Home's hero pick up the new chance; Net worth's projection band reflects the new contribution path. Nothing moves real money; goals' recorded progress is untouched.
6) TESTS THAT PIN IT: capacity equals Cash flow's available-to-save (cross-screen agreement); single-goal finish dates match the standalone goal math; the before-side of every before/after equals the hub headline; trim-hint numbers reproduce exactly when the slider is set to the hint's amount; adopt-then-revert restores the pre-adoption composer state.</t>
        </is>
      </c>
      <c r="F5" s="4" t="inlineStr">
        <is>
          <t>✅ Built — weighGoals + trim hints as pre-runs (pinned identical)</t>
        </is>
      </c>
    </row>
    <row r="6" ht="224" customHeight="1">
      <c r="A6" s="2" t="inlineStr">
        <is>
          <t>F1 secure sync seam</t>
        </is>
      </c>
      <c r="B6" s="3" t="inlineStr">
        <is>
          <t>Net worth</t>
        </is>
      </c>
      <c r="C6" s="3" t="inlineStr">
        <is>
          <t>WHAT IT IS: a thin, swappable layer that fetches balances read-only and writes them through the exact same store actions manual entry uses — never a second math path.
PROVIDER SEAM (so Plaid is a plug, not a foundation): one interface with four calls — listInstitutions(query), createLink(institution_id) → opens Plaid's own sign-in, fetchAccounts(connection_id), fetchBalances(connection_id). Plaid is the first provider; a future provider (or a fake one for tests) implements the same four calls. The secret exchange (public token → access token) happens on our small server (same keys-off-client pattern as the existing AI proxy in functions/); the phone stores only connection_id, never credentials or access tokens.
WRITES: the sync service maps each fetched account to an AssetAccount and saves via the EXISTING store.addAsset (new) or store.updateAsset (known connection_id + account) in src/store/useStore.ts. Balances update the same 'balance' field every total reads — buildNetWorth, totalAssets, assetAllocation need zero changes.
NEW FIELDS on AssetAccount (src/domain/assets/index.ts): source ('connected' | 'imported' | 'manual' — one-time migration stamps existing rows 'manual'), connection_id (which link feeds it), institution_id (stable id for merging), last_synced (timestamp shown as the freshness stamp), value_as_of (date a hand-set value was last confirmed — bonds, alternatives, manual). Plus a per-connection status ('ok' | 'needs_relink') kept on a small connections list in the store.
MERGE RULE (one institution = one account): when a fetched or imported account matches an existing one — same institution_id (or normalized institution name) AND (similar account name OR same last-4 digits OR balance within 10%) — we ASK, never assume: 'Same account — update it' (store.updateAsset, keeps asset_id so history, retirement earmark and class settings survive) or 'Different — keep both'. Nothing is ever duplicated silently, and nothing is ever merged silently either.
REFRESH CADENCE: sync on app open and on pull-to-refresh, throttled the same way prices already are (maybeRefreshPrices' 10-minute rule in src/store/useStore.ts); at most a few times a day — this is a daily-truth app, not a ticker. Each success re-stamps last_synced.
FAILURE HONESTY (never $0, never dropped): a failed or expired connection flips status to needs_relink; every affected account KEEPS its last balance and shows 'Connection paused · last updated &lt;date&gt;' with a Fix link into re-link. Disconnecting flips source to 'manual' and keeps everything.
CONSENT COPY (approved): read-only, we can never move money; you sign in with Plaid and your login goes to Plaid, not us; your account data flows through Plaid's servers to reach the app; disconnect any time and your numbers stay. The old 'never leaves your device' claim is retired app-wide for connected data.
ADDED AT ROUND-2 REVIEW: (1) HOLDINGS-LEVEL SYNC (c20/c22): investment accounts sync positions (shares per holding) and investment transactions — including bond positions and interest/coupon payments where the institution reports them (ledger types INTEREST/COUPON exist); bank accounts sync balances + transactions. (2) MANUAL TRANSACTIONS ON CONNECTED ACCOUNTS (c29): allowed but guarded — a hand-added transaction is tagged 'entered by you'; when the connection later delivers a match (same amount, ±3 days, similar description) the app asks once 'Same transaction?' and merges on yes. Balances defer to the connection's truth on next sync, so a double entry can never permanently distort the balance.</t>
        </is>
      </c>
      <c r="F6" s="4" t="inlineStr">
        <is>
          <t>⬜ Not built — sequenced last; Transaction.source + merge rule ready</t>
        </is>
      </c>
    </row>
    <row r="7" ht="140" customHeight="1">
      <c r="A7" s="2" t="inlineStr">
        <is>
          <t>Activity ledger for every asset class</t>
        </is>
      </c>
      <c r="B7" s="3" t="inlineStr">
        <is>
          <t>Net worth</t>
        </is>
      </c>
      <c r="C7" s="3" t="inlineStr">
        <is>
          <t>GOAL (v1.1): every class can record activity with a visible history — nothing changes a balance silently.
WHAT EXISTS: a pure, tested engine — applyTransaction (src/domain/transactions/index.ts) handles BUY, SELL (clamped to what you own), DEPOSIT, WITHDRAWAL, TRANSFER (both accounts), DIVIDEND/INTEREST/COUPON (cash or reinvested), FEE and the opening types; recordTransaction (src/store/useStore.ts) appends to the append-only ledger and applies the change atomically; txnLabel and cashEffect render plain-English history rows. The only UI today is the trade sheet inside the stocks screen (src/screens/PerformanceScreen.tsx), and bond/alternative sales bypass the ledger (applySale edits the balance directly, full sale just deletes).
THE CHANGE: one shared record-activity sheet (date defaults to today, amount, shares+price for trades, destination for transfers, before/after preview) launched from Account detail and from the bond/alternative editors, offering only the actions valid for the class — cash: Deposit / Withdraw / Transfer; stocks: Buy / Sell / Dividend + cash actions; bonds: Buy more / Sell / Coupon received; alternatives: Buy more / Sell. Bond partial-sale keeps its existing proportional face-value adjustment; the difference is a SELL entry now records it. Full sales keep their ledger entries after the row is removed, so history survives.
FIELDS: Transaction {id, date, type, account_id, counter_account_id, ticker, shares, price, amount, note, created_at} — unchanged.
SAMENESS: the Cash flow tab, Account detail history, and every balance all read the same ledger and the same engine; recording from any screen produces the identical result, pinned by the existing transactions tests (src/domain/transactions/transactions.test.ts) plus new ones for the bond/alternative paths.</t>
        </is>
      </c>
      <c r="F7" s="4" t="inlineStr">
        <is>
          <t>✅ Built — per-class recording through the one engine on Account detail</t>
        </is>
      </c>
    </row>
    <row r="8" ht="84" customHeight="1">
      <c r="A8" s="2" t="inlineStr">
        <is>
          <t>Import v2 — institution, honest classification, no duplicates</t>
        </is>
      </c>
      <c r="B8" s="3" t="inlineStr">
        <is>
          <t>Net worth</t>
        </is>
      </c>
      <c r="C8" s="3" t="inlineStr">
        <is>
          <t>WHAT EXISTS: a pure, tested parser (importHoldings, parseCsv, decodeCsvBase64 in src/domain/import/holdingsImport.ts) that survives odd file encodings, finds the right header row, skips summary rows, and classifies each holding (classifyHolding: certificates of deposit / Treasury bills / money-market funds → cash; put and call contracts → alternatives; bond words → bonds; default → stocks). The screen (src/screens/ImportHoldingsScreen.tsx) previews and saves: equities become one tracked account with per-holding lots (derive_balance true), everything else becomes correctly-classed entries.
THREE v1.1 CHANGES: (1) INSTITUTION — a required 'Which institution is this from?' field in the preview, saved to AssetAccount.institution with source:'imported' and last_synced = import date, so imported accounts group under By-institution and join the merge rule. (2) CLASSIFICATION — extend classifyHolding with crypto patterns (bitcoin, ethereum, BTC, ETH, coin/token wording), foreign-currency wording, and commodity patterns (gold, silver, and common gold/silver fund tickers) → 'alternatives'; today these default to stocks, which is the mis-filing the founder flagged. Every preview row's class becomes editable before saving; the choice is stored as the explicit asset_class, which assetClassOf honors first — so the reviewed class is the class everywhere. Treasury bills get kind 'treasury' and the once-at-save 12-month cash-vs-bond rule (existing maturityClass). (3) MERGE-NOT-DUPLICATE — if an account from that institution already exists, the shared merge sheet asks update-or-add-new; update replaces positions and balance on the existing asset_id via store.updateAsset. Re-importing next quarter's file refreshes instead of doubling.
ALL THREE are small, unit-testable extensions of existing code (holdingsImport.test.ts already covers the parser), not a rebuild.</t>
        </is>
      </c>
      <c r="F8" s="4" t="inlineStr">
        <is>
          <t>✅ Built — institution + provenance + merge-not-duplicate</t>
        </is>
      </c>
    </row>
    <row r="9" ht="80" customHeight="1">
      <c r="A9" s="2" t="inlineStr">
        <is>
          <t>F10 single-transaction scam flag (thin v1)</t>
        </is>
      </c>
      <c r="B9" s="3" t="inlineStr">
        <is>
          <t>Home</t>
        </is>
      </c>
      <c r="C9" s="3" t="inlineStr">
        <is>
          <t>WHAT IT IS: a small always-on check that looks at each new money-out transaction and, when one stands out, puts a calm 'Worth a look' card on Home — a fact plus two buttons, never an alarm. INPUTS: every new transaction where money leaves an account (types WITHDRAWAL, TRANSFER to an account we don't recognize as yours, or FEE) from the existing transaction record (fields used: date, type, account, amount, payee text in the note); plus that same account's last 90 days of money-out history. THE RULES (any one trips a flag; checked in this order): (1) UNUSUALLY LARGE — the amount is at least 3 times that account's typical money-out (the middle value of the last 90 days' withdrawals) AND at least $500; if the account has fewer than 5 past withdrawals to learn from, use a flat $1,000 line instead. (2) FIRST-TIME PAYEE — the payee text has never appeared on this account before AND the amount is at least $250. (3) ODD PATTERN — 3 or more money-out transactions from the same account within one calendar day adding to $1,000 or more (shown as one combined card). OUTPUT: a flag saved alongside the transaction: which transaction, which account, which rule fired, the comparison figure the rule used (e.g. 'typical is $310' — stored at flag time so the explanation never drifts), the dollar amount, a status (open / this-was-me / flagged-by-you), and timestamps. WHAT THE PERSON SEES: at most ONE card on Home at a time (the most recent, with 'and 1 more' if others are open), wording always 'Worth a look' with a magnifying-glass icon — the words scam, fraud, and alert never appear in version 1, and the card is never red. RESOLUTION: 'Yes, this was me' closes it (and for a first-time payee, remembers that payee so it never asks again); 'Something's off' shows a short factual checklist (call the number on the back of your bank card; change any recently shared codes) and keeps a quiet follow-up on Home until marked settled. LEARNING: only the known-payee memory; thresholds are fixed in v1 — no automatic tightening or loosening. HARD LIMITS: we only read; we never block, move, or report anything — the copy says so on the card's detail view. NEW FIELDS: flag record (flag_id, transaction_id, account_id, reason, comparison, amount, status, created_at, resolved_at) and a per-account known-payee list. Proposed home: src/domain/transactions/flags.ts as a pure function reviewTransactions(newOnes, history) → flags, unit-testable with no app plumbing. MANUAL-ENTRY RULE (added after the retired-persona walkthrough): transactions the user typed by hand are NEVER flagged — you don't interrogate someone about a number they just told you. The watch runs on connected-account transactions only, and the design says so honestly: users with no connected accounts see a one-time quiet note on the transaction history ('When you connect an account, we watch it for odd transactions — hand-typed entries are yours, we never question them') instead of a permanently silent feature that looks broken. Copy consistency: the 'Something's off' checklist says 'call the number on the back of your bank card' — the word 'fraud' stays banned in v1 copy everywhere, including the checklist.</t>
        </is>
      </c>
      <c r="F9" s="4" t="inlineStr">
        <is>
          <t>✅ Built — 3 fixed rules; manual rows never flagged</t>
        </is>
      </c>
    </row>
    <row r="10" ht="80" customHeight="1">
      <c r="A10" s="2" t="inlineStr">
        <is>
          <t>F1 connection freshness (stale banner's source)</t>
        </is>
      </c>
      <c r="B10" s="3" t="inlineStr">
        <is>
          <t>Home</t>
        </is>
      </c>
      <c r="C10" s="3" t="inlineStr">
        <is>
          <t>WHAT IT IS: the small record that lets Home be honest about old data. Each linked institution gets a Connection record: institution name, when it last updated successfully, and a status (fine / needs your login again). RULES: the Home banner appears when any connection is more than 48 hours old or needs a fresh login, naming the institution and the date, with one Fix button that re-links only that institution; people who only added things by hand never see it. Every number that includes data from a stale connection carries an 'as of &lt;date&gt;' stamp (balances: oldest included connection date — NET-NEW; prices: the existing priceFreshness helper in src/services/marketData.ts, reused unchanged). Settings' connections list reads the SAME records, so the banner and Settings can never disagree. This rides on the F1 account-sync seam (no aggregator module exists in the repo yet); the price-staleness stamps can ship before F1 does. FIELDS: Connection {institution, last_successful_update, status} plus a link from each synced account to its connection.</t>
        </is>
      </c>
      <c r="F10" s="4" t="inlineStr">
        <is>
          <t>🔨 Partial — value_as_of freshness live; connection records wait on F1</t>
        </is>
      </c>
    </row>
    <row r="11" ht="196" customHeight="1">
      <c r="A11" s="2" t="inlineStr">
        <is>
          <t>Bond rate-sensitivity estimate</t>
        </is>
      </c>
      <c r="B11" s="3" t="inlineStr">
        <is>
          <t>Invest</t>
        </is>
      </c>
      <c r="C11" s="3" t="inlineStr">
        <is>
          <t>WHAT IT ANSWERS: 'If interest rates move 1%, roughly what happens to this bond's market value?' — always titled 'Estimate, not a prediction'.
HOW (plain English): a bond is a list of future payments — the yearly coupon each year until maturity, plus the face value at the end. Today's $95,000 value implies a going rate for this bond (its yield if held to maturity, about 5.1% — we already compute this with approxYTM, src/domain/bonds/index.ts:33). To estimate the effect of a rate move, we simply re-add up those same future payments using a rate 1% higher (and 1% lower): each payment is worth a bit less today when rates are higher, and a bit more when rates are lower. That re-added total is the estimated new market value. In code: NET-NEW pure helper bondRateSensitivity(bond, delta) in src/domain/bonds — newValue = sum over each year t of coupon/(1+y+delta)^t, plus face/(1+y+delta)^n, where y = approxYTM, n = yearsToMaturity (src/domain/bonds/index.ts:24).
INPUTS (all existing fields): face_value, coupon_rate, maturity_date, balance (current value) — via bondInfo (src/domain/bonds/index.ts:16).
OUTPUT: a RANGE, not a point — the repriced value ± about 1% of value (covers the approximation in the starting yield and payment timing), rounded to the nearest $1,000. Shown both directions: rates up 1% and rates down 1%. Example bond ($100,000 face, 4.5% coupon, 10 years left, worth $95,000): rates up 1% -&gt; roughly $87,000-$89,000 (down about $7,000); rates down 1% -&gt; roughly $102,000-$104,000. Founder's check case: the same bond with about 15 years left lands at roughly $85,000 at 6% yields — the engine uses THIS bond's actual maturity, which is why the number is specific, not generic.
ALWAYS PAIRED WITH the reassurance line: 'Held to maturity the face value comes back — assuming the issuer pays as promised' — the rate move only matters if sold early.
WHEN HIDDEN: no coupon rate, no maturity date, matured (yearsToMaturity &lt;= 0), or no current value — exactly the cases where approxYTM already returns nothing. Bond FUNDS (no maturity) never show this card. Never guess a duration for a bond we don't have facts for.
LABELING: card title carries 'Estimate, not a prediction'; the info dot explains the method in two sentences; values say 'roughly'. Colorblind-safe: 'down/up' words + arrows, never color alone. Test pins: monotonic (higher rate -&gt; lower value), reproduces the example above within the stated range, hidden-state cases return null.</t>
        </is>
      </c>
      <c r="F11" s="4" t="inlineStr">
        <is>
          <t>✅ Built — surfaced on the bond detail card</t>
        </is>
      </c>
    </row>
    <row r="12" ht="168" customHeight="1">
      <c r="A12" s="2" t="inlineStr">
        <is>
          <t>Look-back counterfactual (backward what-if)</t>
        </is>
      </c>
      <c r="B12" s="3" t="inlineStr">
        <is>
          <t>Invest</t>
        </is>
      </c>
      <c r="C12" s="3" t="inlineStr">
        <is>
          <t>WHAT IT ANSWERS: 'What if I'd moved $X from A to B, N months ago?' — using only real recorded prices; explicitly a fact about the past.
HOW: NET-NEW pure helper lookBack(amount, fromTicker|'cash', toTicker, monthsBack, priceOf) in src/domain/performance, reusing the existing series machinery (periodReturn/closeAsOf, src/domain/performance/index.ts:92-:114): find each ticker's price on the start date (close on or just before it) and the latest price; path value = amount x (endPrice/startPrice); 'cash' path = amount unchanged. Difference = toPath − fromPath.
INPUTS: dollar amount; from = any held priced ticker or cash; to = any priced ticker (default = the market fund via benchmarkTicker, :132); window = 6/12/24/36 months.
OUTPUT: both end values in dollars with up/down words and %, plus the factual difference. For manually-valued assets (alternatives), the 'from' path uses the change between two dated user values when available; otherwise the look-back entry is hidden for that asset — no fabricated path.
REFUSALS: if either series doesn't reach the start date, say so and disable — never silently shorten the window.
LABELING: fixed caption 'Real past prices; not a prediction of what happens next.' Never phrased as 'you should have' — wording is 'it became / it would be'. Test pins: each path's % equals periodReturn for the same ticker/window; cash path returns the amount unchanged; insufficient-history returns a refusal, not a number.</t>
        </is>
      </c>
      <c r="F12" s="4" t="inlineStr">
        <is>
          <t>✅ Built — real prices only, never extrapolated</t>
        </is>
      </c>
    </row>
    <row r="13" ht="140" customHeight="1">
      <c r="A13" s="2" t="inlineStr">
        <is>
          <t>Manual-value freshness nudge (bonds &amp; alternatives)</t>
        </is>
      </c>
      <c r="B13" s="3" t="inlineStr">
        <is>
          <t>Invest</t>
        </is>
      </c>
      <c r="C13" s="3" t="inlineStr">
        <is>
          <t>WHAT IT ANSWERS: 'How old is this hand-entered value, and is it time to check it?'
HOW: NET-NEW field value_as_of ('YYYY-MM-DD') on AssetAccount (src/domain/assets/index.ts:34), written every time a manual balance is saved (and re-stamped by 'Yes, keep it'). NET-NEW pure helper valueFreshness(value_as_of, now) in src/domain/assets, modeled directly on priceFreshness (src/services/marketData.ts:60): returns a plain label ('value as of Mar 3, 2026' / 'value 7 months old') and stale = age &gt;= 6 months (one constant).
WHERE IT SHOWS: 'value as of &lt;date&gt;' stamp on every bond/alternative row (Invest main) and detail header; when stale, a '!' + words on the row and a nudge card on the detail with [Yes, keep it] (re-stamps date, number unchanged) and [Update value] (edits balance + date together).
MIGRATION: existing accounts have no value_as_of — treat as 'not dated yet' and show 'value date unknown — confirm it once' the first time; first confirm/update stamps it. Never invent a date.
LABELING: factual and calm ('Still about right?'), never alarmist; dismiss rests the nudge for another 6 months. Test pins: stale flips at exactly 6 months; keep-it re-stamps without touching balance; Net Worth agreement unaffected (balance unchanged by stamping).</t>
        </is>
      </c>
      <c r="F13" s="4" t="inlineStr">
        <is>
          <t>✅ Built — the 6-month 'still right?' nudge</t>
        </is>
      </c>
    </row>
    <row r="14" ht="112" customHeight="1">
      <c r="A14" s="2" t="inlineStr">
        <is>
          <t>Holding-level concentration callout</t>
        </is>
      </c>
      <c r="B14" s="3" t="inlineStr">
        <is>
          <t>Invest</t>
        </is>
      </c>
      <c r="C14" s="3" t="inlineStr">
        <is>
          <t>WHAT IT ANSWERS: 'How much of my invested money is in one thing?' — a quantified fact, no advice.
HOW: NET-NEW thin helper topHoldingConcentration(rows) in src/domain/performance reusing the weight already computed by attribution (src/domain/performance/index.ts:174): weight = holding value / total priced value. Fires at &gt;= 25% for a single holding. The account-level version EXISTS and stays: the 'concentration' insight at src/domain/insights/index.ts:45 fires when one account holds &gt; 40% of invested money.
OUTPUT: one line — '31% of your invested money is in one stock (NVDA)' — shown on Invest main between the laggards and the holdings list; tapping scrolls to that holding.
WORDING RULES: percent + the word 'one stock/one account' + the name; never 'too much', never 'consider selling'. When both holding-level and account-level fire, show the holding-level one (more specific) — never two callouts. Test pins: threshold constants referenced from one place; the callout % equals the same holding's listed share; suppressed below threshold and when total priced value is zero. PEER FRAMING (the 36-65 strategy and high-level v1.2 C2 asked for 'more than most people your age'): explicitly DEFERRED in v1 — there is no honest peer-benchmark data source; shipping the phrase without one would be an invented fact. Recorded as a decision, not an omission; phase-2 candidate with a sourced benchmark.</t>
        </is>
      </c>
      <c r="F14" s="4" t="inlineStr">
        <is>
          <t>⬜ Not built — the account-level concentration insight ships meanwhile</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99"/>
  <sheetViews>
    <sheetView workbookViewId="0">
      <pane ySplit="1" topLeftCell="A2" activePane="bottomLeft" state="frozen"/>
      <selection pane="bottomLeft" activeCell="A1" sqref="A1"/>
    </sheetView>
  </sheetViews>
  <sheetFormatPr baseColWidth="10" defaultColWidth="8.83203125" defaultRowHeight="15"/>
  <cols>
    <col width="40" customWidth="1" min="1" max="1"/>
    <col width="44" customWidth="1" min="2" max="2"/>
    <col width="36" customWidth="1" min="3" max="3"/>
    <col width="40" customWidth="1" min="4" max="4"/>
    <col width="11" customWidth="1" min="5" max="5"/>
    <col width="24" customWidth="1" min="6" max="6"/>
  </cols>
  <sheetData>
    <row r="1" ht="26" customHeight="1">
      <c r="A1" s="1" t="inlineStr">
        <is>
          <t>Screen element</t>
        </is>
      </c>
      <c r="B1" s="1" t="inlineStr">
        <is>
          <t>Engine / helper (one source of truth)</t>
        </is>
      </c>
      <c r="C1" s="1" t="inlineStr">
        <is>
          <t>Fields it reads</t>
        </is>
      </c>
      <c r="D1" s="1" t="inlineStr">
        <is>
          <t>Sameness pin (must match)</t>
        </is>
      </c>
      <c r="E1" s="1" t="inlineStr">
        <is>
          <t>✅ Approve?</t>
        </is>
      </c>
      <c r="F1" s="1" t="inlineStr">
        <is>
          <t>💬 Your comments</t>
        </is>
      </c>
    </row>
    <row r="2" ht="40" customHeight="1">
      <c r="A2" s="2" t="inlineStr">
        <is>
          <t>Home · Greeting name</t>
        </is>
      </c>
      <c r="B2" s="3" t="inlineStr">
        <is>
          <t>name fallback chain in src/screens/HomeScreen.tsx (store.user.name → onboarding name); first_name in src/domain/profile/onboarding.ts</t>
        </is>
      </c>
      <c r="C2" s="3" t="inlineStr">
        <is>
          <t>user.name, onboarding first_name</t>
        </is>
      </c>
      <c r="D2" s="3" t="inlineStr">
        <is>
          <t>matches Settings profile</t>
        </is>
      </c>
    </row>
    <row r="3" ht="40" customHeight="1">
      <c r="A3" s="2" t="inlineStr">
        <is>
          <t>Home · Hide-balances mask</t>
        </is>
      </c>
      <c r="B3" s="3" t="inlineStr">
        <is>
          <t>useMoney()/BALANCE_MASK — src/components/useMoney.ts; hideBalances/toggleHideBalances — src/store/useStore.ts</t>
        </is>
      </c>
      <c r="C3" s="3" t="inlineStr">
        <is>
          <t>hideBalances</t>
        </is>
      </c>
      <c r="D3" s="3" t="inlineStr">
        <is>
          <t>one global flag; zero raw '$' render when on (UI test)</t>
        </is>
      </c>
    </row>
    <row r="4" ht="40" customHeight="1">
      <c r="A4" s="2" t="inlineStr">
        <is>
          <t>Home · Net worth line</t>
        </is>
      </c>
      <c r="B4" s="3" t="inlineStr">
        <is>
          <t>resolveNetWorthRows — src/domain/snapshot.ts → totalAssets − debts → buildNetWorth — src/domain/networth/index.ts</t>
        </is>
      </c>
      <c r="C4" s="3" t="inlineStr">
        <is>
          <t>live accounts + liabilities (or onboarding fallback)</t>
        </is>
      </c>
      <c r="D4" s="3" t="n"/>
    </row>
    <row r="5" ht="40" customHeight="1">
      <c r="A5" s="2" t="inlineStr">
        <is>
          <t>Home · Working hero total</t>
        </is>
      </c>
      <c r="B5" s="3" t="inlineStr">
        <is>
          <t>investmentsTotal — src/domain/assets/index.ts</t>
        </is>
      </c>
      <c r="C5" s="3" t="inlineStr">
        <is>
          <t>investment-class account values incl. positions</t>
        </is>
      </c>
      <c r="D5" s="3" t="n"/>
    </row>
    <row r="6" ht="40" customHeight="1">
      <c r="A6" s="2" t="inlineStr">
        <is>
          <t>Home · Working hero month change</t>
        </is>
      </c>
      <c r="B6" s="3" t="inlineStr">
        <is>
          <t>portfolioTrend / portfolioPeriodReturn — src/domain/performance/index.ts</t>
        </is>
      </c>
      <c r="C6" s="3" t="inlineStr">
        <is>
          <t>positions, lots, price series</t>
        </is>
      </c>
      <c r="D6" s="3" t="n"/>
    </row>
    <row r="7" ht="40" customHeight="1">
      <c r="A7" s="2" t="inlineStr">
        <is>
          <t>Home · Compared-to-market line</t>
        </is>
      </c>
      <c r="B7" s="3" t="inlineStr">
        <is>
          <t>periodReturn + BENCHMARK_TICKER — src/domain/performance/index.ts</t>
        </is>
      </c>
      <c r="C7" s="3" t="inlineStr">
        <is>
          <t>benchmark price series, portfolio period return</t>
        </is>
      </c>
      <c r="D7" s="3">
        <f>Performance screen versus-market row</f>
        <v/>
      </c>
    </row>
    <row r="8" ht="40" customHeight="1">
      <c r="A8" s="2" t="inlineStr">
        <is>
          <t>Home · Prices as-of stamp</t>
        </is>
      </c>
      <c r="B8" s="3" t="inlineStr">
        <is>
          <t>priceFreshness — src/services/marketData.ts</t>
        </is>
      </c>
      <c r="C8" s="3" t="inlineStr">
        <is>
          <t>price fetch timestamps</t>
        </is>
      </c>
      <c r="D8" s="3" t="inlineStr">
        <is>
          <t>same wording as Performance freshness line</t>
        </is>
      </c>
    </row>
    <row r="9" ht="40" customHeight="1">
      <c r="A9" s="2" t="inlineStr">
        <is>
          <t>Home · What needs you (list)</t>
        </is>
      </c>
      <c r="B9" s="3" t="inlineStr">
        <is>
          <t>buildInsights(input, 3) — src/domain/insights/index.ts (+ NET-NEW rules: required-withdrawal, claim-window, F10 injection)</t>
        </is>
      </c>
      <c r="C9" s="3" t="inlineStr">
        <is>
          <t>InsightInput (10 inputs) + open flags</t>
        </is>
      </c>
      <c r="D9" s="3" t="inlineStr">
        <is>
          <t>identical items/order/dollars to Insights screen top 3</t>
        </is>
      </c>
    </row>
    <row r="10" ht="40" customHeight="1">
      <c r="A10" s="2" t="inlineStr">
        <is>
          <t>Home · Idle-cash dollars</t>
        </is>
      </c>
      <c r="B10" s="3" t="inlineStr">
        <is>
          <t>cashTotal — src/domain/assets/index.ts (feeds cash-drag rule)</t>
        </is>
      </c>
      <c r="C10" s="3" t="inlineStr">
        <is>
          <t>cash-class balances</t>
        </is>
      </c>
      <c r="D10" s="3">
        <f>Invest tab cash total</f>
        <v/>
      </c>
    </row>
    <row r="11" ht="40" customHeight="1">
      <c r="A11" s="2" t="inlineStr">
        <is>
          <t>Home · 401(k) room dollars</t>
        </is>
      </c>
      <c r="B11" s="3" t="inlineStr">
        <is>
          <t>k401Headroom — src/domain/income/limits.ts</t>
        </is>
      </c>
      <c r="C11" s="3" t="inlineStr">
        <is>
          <t>age, year-to-date contributions, IRS_LIMITS</t>
        </is>
      </c>
      <c r="D11" s="3">
        <f>contribution-room screen headline</f>
        <v/>
      </c>
    </row>
    <row r="12" ht="40" customHeight="1">
      <c r="A12" s="2" t="inlineStr">
        <is>
          <t>Home · Required-withdrawal dollars</t>
        </is>
      </c>
      <c r="B12" s="3" t="inlineStr">
        <is>
          <t>rmdAtAge + RMD_START_AGE — src/domain/decumulation/index.ts (rule itself NET-NEW)</t>
        </is>
      </c>
      <c r="C12" s="3" t="inlineStr">
        <is>
          <t>pre-tax balance (taxBucketSplit), age</t>
        </is>
      </c>
      <c r="D12" s="3" t="n"/>
    </row>
    <row r="13" ht="40" customHeight="1">
      <c r="A13" s="2" t="inlineStr">
        <is>
          <t>Home · Will-it-last chance</t>
        </is>
      </c>
      <c r="B13" s="3" t="inlineStr">
        <is>
          <t>stored RetirementState.chance_of_success from simulate()/buildRetirementState — src/domain/retirement/index.ts (read, never recomputed)</t>
        </is>
      </c>
      <c r="C13" s="3" t="inlineStr">
        <is>
          <t>chance_of_success</t>
        </is>
      </c>
      <c r="D13" s="3" t="inlineStr">
        <is>
          <t>byte-identical to Plan tab and insights retireChance (Principle 6)</t>
        </is>
      </c>
    </row>
    <row r="14" ht="40" customHeight="1">
      <c r="A14" s="2" t="inlineStr">
        <is>
          <t>Home · Retired hero this-month / this-year</t>
        </is>
      </c>
      <c r="B14" s="3" t="inlineStr">
        <is>
          <t>NET-NEW: F5 buildPaycheckYear (proposed src/domain/paycheck/index.ts)</t>
        </is>
      </c>
      <c r="C14" s="3" t="inlineStr">
        <is>
          <t>per-month guaranteed placements, dated bills, nest egg, safe-draw rate, required withdrawal</t>
        </is>
      </c>
      <c r="D14" s="3">
        <f>cash flow paycheck current-month row and year total</f>
        <v/>
      </c>
    </row>
    <row r="15" ht="40" customHeight="1">
      <c r="A15" s="2" t="inlineStr">
        <is>
          <t>Home · Guaranteed line</t>
        </is>
      </c>
      <c r="B15" s="3" t="inlineStr">
        <is>
          <t>retirementIncomeMonthly — src/domain/income/onboarding.ts (placed into months by F5)</t>
        </is>
      </c>
      <c r="C15" s="3" t="inlineStr">
        <is>
          <t>Social Security monthly, pension monthly, timing</t>
        </is>
      </c>
      <c r="D15" s="3" t="n"/>
    </row>
    <row r="16" ht="40" customHeight="1">
      <c r="A16" s="2" t="inlineStr">
        <is>
          <t>Home · Safe-draw line</t>
        </is>
      </c>
      <c r="B16" s="3" t="inlineStr">
        <is>
          <t>NET-NEW: F5 engine (starting from withdrawalPlan — src/domain/decumulation/index.ts)</t>
        </is>
      </c>
      <c r="C16" s="3" t="inlineStr">
        <is>
          <t>nest egg (investableAssets), guaranteed monthly, draw rate</t>
        </is>
      </c>
      <c r="D16" s="3" t="inlineStr">
        <is>
          <t>guaranteed + safe draw = this-month figure, on Home and Cash flow (agreement test)</t>
        </is>
      </c>
    </row>
    <row r="17" ht="40" customHeight="1">
      <c r="A17" s="2" t="inlineStr">
        <is>
          <t>Home · Worth-a-look card + detail</t>
        </is>
      </c>
      <c r="B17" s="3" t="inlineStr">
        <is>
          <t>NET-NEW: F10 flag engine (proposed src/domain/transactions/flags.ts) over Transaction — src/domain/transactions/index.ts</t>
        </is>
      </c>
      <c r="C17" s="3" t="inlineStr">
        <is>
          <t>Transaction.amount/date/account_id/note/type; flag.reason/comparison/status</t>
        </is>
      </c>
      <c r="D17" s="3" t="inlineStr">
        <is>
          <t>card = detail = Cash flow transaction row, to the penny; explanation uses the stored comparison from flag time</t>
        </is>
      </c>
    </row>
    <row r="18" ht="40" customHeight="1">
      <c r="A18" s="2" t="inlineStr">
        <is>
          <t>Home · Stale-connection banner</t>
        </is>
      </c>
      <c r="B18" s="3" t="inlineStr">
        <is>
          <t>NET-NEW: F1 Connection entity (proposed src/services/accountSync.ts)</t>
        </is>
      </c>
      <c r="C18" s="3" t="inlineStr">
        <is>
          <t>Connection.institution, last_successful_update, status</t>
        </is>
      </c>
      <c r="D18" s="3">
        <f>Settings connections list status/date</f>
        <v/>
      </c>
    </row>
    <row r="19" ht="40" customHeight="1">
      <c r="A19" s="2" t="inlineStr">
        <is>
          <t>Home · Lens (stage) capture</t>
        </is>
      </c>
      <c r="B19" s="3" t="inlineStr">
        <is>
          <t>onboarding profile stage — src/domain/profile/onboarding.ts; lens resolver (NET-NEW) reads it for hero + tab order</t>
        </is>
      </c>
      <c r="C19" s="3" t="inlineStr">
        <is>
          <t>stage, intent</t>
        </is>
      </c>
      <c r="D19" s="3" t="inlineStr">
        <is>
          <t>One stage field drives the hero variant and the tab order on every tab — set at first run, editable in Settings.</t>
        </is>
      </c>
    </row>
    <row r="20" ht="40" customHeight="1">
      <c r="A20" s="2" t="inlineStr">
        <is>
          <t>Net worth · headline number</t>
        </is>
      </c>
      <c r="B20" s="3" t="inlineStr">
        <is>
          <t>buildNetWorth (src/domain/networth/index.ts)</t>
        </is>
      </c>
      <c r="C20" s="3" t="inlineStr">
        <is>
          <t>gross_assets, gross_debt, net_worth</t>
        </is>
      </c>
      <c r="D20" s="3" t="inlineStr">
        <is>
          <t>Home, the tab and every other surface call buildNetWorth(totalAssets, totalDebtBalance) — pinned by the cross-screen agreement test (src/domain/assets/agreement.test.ts).</t>
        </is>
      </c>
    </row>
    <row r="21" ht="40" customHeight="1">
      <c r="A21" s="2" t="inlineStr">
        <is>
          <t>Net worth · what you own total</t>
        </is>
      </c>
      <c r="B21" s="3" t="inlineStr">
        <is>
          <t>totalAssets (src/domain/assets/index.ts)</t>
        </is>
      </c>
      <c r="C21" s="3" t="inlineStr">
        <is>
          <t>balance (every AssetAccount)</t>
        </is>
      </c>
      <c r="D21" s="3" t="inlineStr">
        <is>
          <t>assetAllocation sums to totalAssets by construction — class rows always add up to the own total.</t>
        </is>
      </c>
    </row>
    <row r="22" ht="40" customHeight="1">
      <c r="A22" s="2" t="inlineStr">
        <is>
          <t>Net worth · class rows / donut</t>
        </is>
      </c>
      <c r="B22" s="3" t="inlineStr">
        <is>
          <t>assetAllocation + assetClassOf + ASSET_CLASS_LABEL (src/domain/assets/index.ts)</t>
        </is>
      </c>
      <c r="C22" s="3" t="inlineStr">
        <is>
          <t>asset_class, kind, tax_bucket, positions, maturity_date</t>
        </is>
      </c>
      <c r="D22" s="3" t="inlineStr">
        <is>
          <t>Explicit asset_class always wins in assetClassOf, so the class approved at import/edit is the class shown everywhere.</t>
        </is>
      </c>
    </row>
    <row r="23" ht="40" customHeight="1">
      <c r="A23" s="2" t="inlineStr">
        <is>
          <t>Net worth · what you owe</t>
        </is>
      </c>
      <c r="B23" s="3" t="inlineStr">
        <is>
          <t>totalDebtBalance + buildDebtState (src/domain/debt/index.ts)</t>
        </is>
      </c>
      <c r="C23" s="3" t="inlineStr">
        <is>
          <t>remaining_balance</t>
        </is>
      </c>
      <c r="D23" s="3" t="inlineStr">
        <is>
          <t>One debt total feeds the headline, the owe section and Home.</t>
        </is>
      </c>
    </row>
    <row r="24" ht="40" customHeight="1">
      <c r="A24" s="2" t="inlineStr">
        <is>
          <t>Net worth · by-institution grouping</t>
        </is>
      </c>
      <c r="B24" s="3" t="inlineStr">
        <is>
          <t>invGroup toggle + institution grouping (src/screens/NetWorthScreen.tsx)</t>
        </is>
      </c>
      <c r="C24" s="3" t="inlineStr">
        <is>
          <t>institution</t>
        </is>
      </c>
      <c r="D24" s="3" t="inlineStr">
        <is>
          <t>Same institution string the merge rule and Import v2 write — one field powers grouping and de-duplication.</t>
        </is>
      </c>
    </row>
    <row r="25" ht="40" customHeight="1">
      <c r="A25" s="2" t="inlineStr">
        <is>
          <t>Net worth · source chip + freshness</t>
        </is>
      </c>
      <c r="B25" s="3" t="inlineStr">
        <is>
          <t>NET-NEW: F1 sync seam fields on AssetAccount</t>
        </is>
      </c>
      <c r="C25" s="3" t="inlineStr">
        <is>
          <t>source, connection_id, institution_id, last_synced</t>
        </is>
      </c>
      <c r="D25" s="3" t="inlineStr">
        <is>
          <t>Chip wording rendered by one shared component on the tab, Account detail and merge sheet.</t>
        </is>
      </c>
    </row>
    <row r="26" ht="40" customHeight="1">
      <c r="A26" s="2" t="inlineStr">
        <is>
          <t>Net worth · hide balances</t>
        </is>
      </c>
      <c r="B26" s="3" t="inlineStr">
        <is>
          <t>setHideBalances / BALANCE_MASK (src/domain/_shared/money.ts)</t>
        </is>
      </c>
      <c r="C26" s="3" t="inlineStr">
        <is>
          <t>hideBalances</t>
        </is>
      </c>
      <c r="D26" s="3" t="inlineStr">
        <is>
          <t>Masking lives inside the shared money formatters (money, money2, moneyCompact) — structurally masks ALL amounts.</t>
        </is>
      </c>
    </row>
    <row r="27" ht="40" customHeight="1">
      <c r="A27" s="2" t="inlineStr">
        <is>
          <t>Net worth · negative in red + word</t>
        </is>
      </c>
      <c r="B27" s="3" t="inlineStr">
        <is>
          <t>nwIdentity red styling (src/screens/NetWorthScreen.tsx) + NET-NEW word 'negative'</t>
        </is>
      </c>
      <c r="C27" s="3" t="inlineStr">
        <is>
          <t>net_worth &lt; 0</t>
        </is>
      </c>
      <c r="D27" s="3" t="inlineStr">
        <is>
          <t>Color always paired with the word — colorblind-safe rule.</t>
        </is>
      </c>
    </row>
    <row r="28" ht="40" customHeight="1">
      <c r="A28" s="2" t="inlineStr">
        <is>
          <t>Net worth · emergency cushion</t>
        </is>
      </c>
      <c r="B28" s="3" t="inlineStr">
        <is>
          <t>cashTotal (src/domain/assets/index.ts) ÷ plannedMonthlySpend (src/domain/budget)</t>
        </is>
      </c>
      <c r="C28" s="3" t="inlineStr">
        <is>
          <t>cash-class balances, planned spend</t>
        </is>
      </c>
      <c r="D28" s="3" t="inlineStr">
        <is>
          <t>Same cashTotal as the Cash class row; same plannedMonthlySpend as the Plan tab (B-50).</t>
        </is>
      </c>
    </row>
    <row r="29" ht="40" customHeight="1">
      <c r="A29" s="2" t="inlineStr">
        <is>
          <t>Connect · linked account writes</t>
        </is>
      </c>
      <c r="B29" s="3" t="inlineStr">
        <is>
          <t>NET-NEW: F1 sync seam → EXISTING store.addAsset / store.updateAsset (src/store/useStore.ts)</t>
        </is>
      </c>
      <c r="C29" s="3" t="inlineStr">
        <is>
          <t>balance, label, kind, source:'connected', institution_id, connection_id, last_synced</t>
        </is>
      </c>
      <c r="D29" s="3" t="inlineStr">
        <is>
          <t>Sync has no private write path — it uses the same store actions as manual entry, so linked numbers obey the same totals.</t>
        </is>
      </c>
    </row>
    <row r="30" ht="40" customHeight="1">
      <c r="A30" s="2" t="inlineStr">
        <is>
          <t>Connect/Import · merge rule</t>
        </is>
      </c>
      <c r="B30" s="3" t="inlineStr">
        <is>
          <t>NET-NEW: F1 sync seam merge helper (pure, unit-tested like holdingsImport)</t>
        </is>
      </c>
      <c r="C30" s="3" t="inlineStr">
        <is>
          <t>institution_id/name match + account name or last-4 or balance-within-10%; merge via store.updateAsset keeping asset_id</t>
        </is>
      </c>
      <c r="D30" s="3" t="inlineStr">
        <is>
          <t>asset_id preserved on merge, so transaction history, retirement earmark and class settings survive — one institution, one account.</t>
        </is>
      </c>
    </row>
    <row r="31" ht="40" customHeight="1">
      <c r="A31" s="2" t="inlineStr">
        <is>
          <t>Import · file parse</t>
        </is>
      </c>
      <c r="B31" s="3" t="inlineStr">
        <is>
          <t>importHoldings + parseCsv + decodeCsvBase64 (src/domain/import/holdingsImport.ts)</t>
        </is>
      </c>
      <c r="C31" s="3" t="inlineStr">
        <is>
          <t>symbol, ticker, shares, costPerShare, value, date, label, assetClass</t>
        </is>
      </c>
      <c r="D31" s="3" t="inlineStr">
        <is>
          <t>The preview and the save both read the same parsed holdings — what you approve is what is stored.</t>
        </is>
      </c>
    </row>
    <row r="32" ht="40" customHeight="1">
      <c r="A32" s="2" t="inlineStr">
        <is>
          <t>Import · classification</t>
        </is>
      </c>
      <c r="B32" s="3" t="inlineStr">
        <is>
          <t>classifyHolding (src/domain/import/holdingsImport.ts) — EXTEND with crypto/currency/commodity patterns (v1.1)</t>
        </is>
      </c>
      <c r="C32" s="3" t="inlineStr">
        <is>
          <t>assetClass → saved as explicit asset_class</t>
        </is>
      </c>
      <c r="D32" s="3" t="inlineStr">
        <is>
          <t>Saved explicitly, so assetClassOf, the donut and the Alternatives screen all honor the reviewed class.</t>
        </is>
      </c>
    </row>
    <row r="33" ht="40" customHeight="1">
      <c r="A33" s="2" t="inlineStr">
        <is>
          <t>Import · save path</t>
        </is>
      </c>
      <c r="B33" s="3" t="inlineStr">
        <is>
          <t>confirmImport (src/screens/ImportHoldingsScreen.tsx) → store.addAsset; v2 adds institution + merge via store.updateAsset</t>
        </is>
      </c>
      <c r="C33" s="3" t="inlineStr">
        <is>
          <t>positions, lots, balance, derive_balance, institution, source:'imported', last_synced</t>
        </is>
      </c>
      <c r="D33" s="3" t="inlineStr">
        <is>
          <t>Imported equities use the same positions model recomputeBalances and the transactions engine operate on.</t>
        </is>
      </c>
    </row>
    <row r="34" ht="40" customHeight="1">
      <c r="A34" s="2" t="inlineStr">
        <is>
          <t>Account detail · record activity</t>
        </is>
      </c>
      <c r="B34" s="3" t="inlineStr">
        <is>
          <t>recordTransaction (src/store/useStore.ts) → applyTransaction (src/domain/transactions/index.ts)</t>
        </is>
      </c>
      <c r="C34" s="3" t="inlineStr">
        <is>
          <t>Transaction {date, type BUY/SELL/DEPOSIT/WITHDRAWAL/TRANSFER/DIVIDEND/INTEREST/COUPON, account_id, counter_account_id, ticker, shares, price, amount}</t>
        </is>
      </c>
      <c r="D34" s="3" t="inlineStr">
        <is>
          <t>One pure, tested engine applies every action (sell clamped to shares owned; cash hits the right field via usesSleeve) — same result from any screen.</t>
        </is>
      </c>
    </row>
    <row r="35" ht="40" customHeight="1">
      <c r="A35" s="2" t="inlineStr">
        <is>
          <t>Account detail · activity history</t>
        </is>
      </c>
      <c r="B35" s="3" t="inlineStr">
        <is>
          <t>store.transactions filtered by account_id + txnLabel + cashEffect (src/domain/transactions/index.ts)</t>
        </is>
      </c>
      <c r="C35" s="3" t="inlineStr">
        <is>
          <t>append-only transactions[]</t>
        </is>
      </c>
      <c r="D35" s="3" t="inlineStr">
        <is>
          <t>Balance = opening state + these entries (+ price moves) — history and balance cannot drift.</t>
        </is>
      </c>
    </row>
    <row r="36" ht="40" customHeight="1">
      <c r="A36" s="2" t="inlineStr">
        <is>
          <t>Cash deposit/withdraw/transfer from this tab</t>
        </is>
      </c>
      <c r="B36" s="3" t="inlineStr">
        <is>
          <t>EXISTING types DEPOSIT/WITHDRAWAL/TRANSFER; UI today only in the trade sheet (src/screens/PerformanceScreen.tsx) — v1.1 surfaces them on Account detail</t>
        </is>
      </c>
      <c r="C36" s="3" t="inlineStr">
        <is>
          <t>amount, date, counter_account_id</t>
        </is>
      </c>
      <c r="D36" s="3" t="inlineStr">
        <is>
          <t>Same recordTransaction path — moving the button does not fork the math.</t>
        </is>
      </c>
    </row>
    <row r="37" ht="40" customHeight="1">
      <c r="A37" s="2" t="inlineStr">
        <is>
          <t>Bonds · metrics</t>
        </is>
      </c>
      <c r="B37" s="3" t="inlineStr">
        <is>
          <t>bondInfo, annualCoupon, currentYield, approxYTM, bondSummary (src/domain/bonds)</t>
        </is>
      </c>
      <c r="C37" s="3" t="inlineStr">
        <is>
          <t>face_value, coupon_rate, maturity_date, balance</t>
        </is>
      </c>
      <c r="D37" s="3" t="inlineStr">
        <is>
          <t>Derived from the same four fields the editor saves; yield-to-maturity labeled an estimate on-screen.</t>
        </is>
      </c>
    </row>
    <row r="38" ht="40" customHeight="1">
      <c r="A38" s="2" t="inlineStr">
        <is>
          <t>Bonds/Alternatives · sell (today) → ledger (v1.1)</t>
        </is>
      </c>
      <c r="B38" s="3" t="inlineStr">
        <is>
          <t>applySale (src/screens/BondsScreen.tsx, src/screens/OtherInvestmentsScreen.tsx) — replaced by recordTransaction BUY/SELL entries</t>
        </is>
      </c>
      <c r="C38" s="3" t="inlineStr">
        <is>
          <t>balance, face_value (proportional on partial sale), Transaction rows</t>
        </is>
      </c>
      <c r="D38" s="3" t="inlineStr">
        <is>
          <t>Existing before/after confirmation copy kept; the change is that the action now leaves a visible, auditable trace.</t>
        </is>
      </c>
    </row>
    <row r="39" ht="40" customHeight="1">
      <c r="A39" s="2" t="inlineStr">
        <is>
          <t>Treasury bill sub-kind + 12-month rule</t>
        </is>
      </c>
      <c r="B39" s="3" t="inlineStr">
        <is>
          <t>NET-NEW kind 'treasury' in ASSET_KINDS; EXISTING maturityClass + isCashEquivalentLabel (src/domain/assets/index.ts)</t>
        </is>
      </c>
      <c r="C39" s="3" t="inlineStr">
        <is>
          <t>kind:'treasury', maturity_date, asset_class stamped once at save</t>
        </is>
      </c>
      <c r="D39" s="3" t="inlineStr">
        <is>
          <t>Rule applied once and stored (approved entry rule), so the classification never silently shifts with the calendar.</t>
        </is>
      </c>
    </row>
    <row r="40" ht="40" customHeight="1">
      <c r="A40" s="2" t="inlineStr">
        <is>
          <t>Bond/alternative/manual · value as of + staleness</t>
        </is>
      </c>
      <c r="B40" s="3" t="inlineStr">
        <is>
          <t>NET-NEW: value_as_of on AssetAccount; 6-month rule; writes via store.updateAsset</t>
        </is>
      </c>
      <c r="C40" s="3" t="inlineStr">
        <is>
          <t>value_as_of, balance</t>
        </is>
      </c>
      <c r="D40" s="3" t="inlineStr">
        <is>
          <t>One field and one 6-month rule shared by bonds, alternatives, manual accounts — same nudge wording everywhere.</t>
        </is>
      </c>
    </row>
    <row r="41" ht="40" customHeight="1">
      <c r="A41" s="2" t="inlineStr">
        <is>
          <t>Net worth · Your path ahead</t>
        </is>
      </c>
      <c r="B41" s="3" t="inlineStr">
        <is>
          <t>projectNestEgg — src/domain/retirement/index.ts:198 via the F11 shared assumptions source</t>
        </is>
      </c>
      <c r="C41" s="3" t="inlineStr">
        <is>
          <t>invested balances, contribMonthly, expectedReturn, retireAge</t>
        </is>
      </c>
      <c r="D41" s="3" t="inlineStr">
        <is>
          <t>Same projection as Plan detail band + Invest forward what-if; re-derives on adoption; actuals untouched.</t>
        </is>
      </c>
    </row>
    <row r="42" ht="40" customHeight="1">
      <c r="A42" s="2" t="inlineStr">
        <is>
          <t>Invest · Total return % (period)</t>
        </is>
      </c>
      <c r="B42" s="3" t="inlineStr">
        <is>
          <t>portfolioPeriodReturn — src/domain/performance/index.ts:224 (rows from buildPerformance :150)</t>
        </is>
      </c>
      <c r="C42" s="3" t="inlineStr">
        <is>
          <t>positions[].lots, priceCache, period</t>
        </is>
      </c>
      <c r="D42" s="3" t="inlineStr">
        <is>
          <t>Equals the value-weighted sum of the same rows shown in winners &amp; laggards; attribution contributions reconcile to it (performance.test.ts).</t>
        </is>
      </c>
    </row>
    <row r="43" ht="40" customHeight="1">
      <c r="A43" s="2" t="inlineStr">
        <is>
          <t>Invest · Total return $ (period)</t>
        </is>
      </c>
      <c r="B43" s="3" t="inlineStr">
        <is>
          <t>buildPerformance rows -&gt; unrealizedGain (src/domain/performance/index.ts:47) aggregated over the period window</t>
        </is>
      </c>
      <c r="C43" s="3" t="inlineStr">
        <is>
          <t>lots, latest close</t>
        </is>
      </c>
      <c r="D43" s="3" t="inlineStr">
        <is>
          <t>Header $ equals the sum of per-holding $ rows on the same screen.</t>
        </is>
      </c>
    </row>
    <row r="44" ht="40" customHeight="1">
      <c r="A44" s="2" t="inlineStr">
        <is>
          <t>Invest · Market comparison ('ahead by X points')</t>
        </is>
      </c>
      <c r="B44" s="3" t="inlineStr">
        <is>
          <t>periodReturn on benchmark series (src/domain/performance/index.ts:105) + benchmarkTicker (:132); row.beatBy (:167)</t>
        </is>
      </c>
      <c r="C44" s="3" t="inlineStr">
        <is>
          <t>benchReturn, beatBy</t>
        </is>
      </c>
      <c r="D44" s="3" t="inlineStr">
        <is>
          <t>Same benchmark mapping used on every holding detail — one market number per period.</t>
        </is>
      </c>
    </row>
    <row r="45" ht="40" customHeight="1">
      <c r="A45" s="2" t="inlineStr">
        <is>
          <t>Invest · You-vs-market trend line</t>
        </is>
      </c>
      <c r="B45" s="3" t="inlineStr">
        <is>
          <t>portfolioTrend — src/domain/performance/index.ts:198</t>
        </is>
      </c>
      <c r="C45" s="3" t="inlineStr">
        <is>
          <t>TrendPoint{date,value,bench}</t>
        </is>
      </c>
      <c r="D45" s="3" t="inlineStr">
        <is>
          <t>Last trend point matches the glance value (agreement test to add).</t>
        </is>
      </c>
    </row>
    <row r="46" ht="40" customHeight="1">
      <c r="A46" s="2" t="inlineStr">
        <is>
          <t>Invest · Winners &amp; laggards</t>
        </is>
      </c>
      <c r="B46" s="3" t="inlineStr">
        <is>
          <t>attribution — src/domain/performance/index.ts:174</t>
        </is>
      </c>
      <c r="C46" s="3" t="inlineStr">
        <is>
          <t>weight, contribution</t>
        </is>
      </c>
      <c r="D46" s="3" t="inlineStr">
        <is>
          <t>weight x return of the same rows as the glance; sorted list sums (approx) to portfolio return.</t>
        </is>
      </c>
    </row>
    <row r="47" ht="40" customHeight="1">
      <c r="A47" s="2" t="inlineStr">
        <is>
          <t>Invest · Price freshness line</t>
        </is>
      </c>
      <c r="B47" s="3" t="inlineStr">
        <is>
          <t>priceFreshness — src/services/marketData.ts:60 (used at PerformanceScreen.tsx:79)</t>
        </is>
      </c>
      <c r="C47" s="3" t="inlineStr">
        <is>
          <t>pricesFetchedAt</t>
        </is>
      </c>
      <c r="D47" s="3" t="inlineStr">
        <is>
          <t>One helper, one wording on every Invest surface; stale threshold 4 days lives only there.</t>
        </is>
      </c>
    </row>
    <row r="48" ht="40" customHeight="1">
      <c r="A48" s="2" t="inlineStr">
        <is>
          <t>Invest · Missing-price fallback</t>
        </is>
      </c>
      <c r="B48" s="3" t="inlineStr">
        <is>
          <t>recomputeBalances — src/store/useStore.ts:13 (B-19: no price -&gt; costBasis, never $0)</t>
        </is>
      </c>
      <c r="C48" s="3" t="inlineStr">
        <is>
          <t>positions, priceCache</t>
        </is>
      </c>
      <c r="D48" s="3" t="inlineStr">
        <is>
          <t>Row display and totals both use the fallback — a holding is never $0 in one place and cost in another.</t>
        </is>
      </c>
    </row>
    <row r="49" ht="40" customHeight="1">
      <c r="A49" s="2" t="inlineStr">
        <is>
          <t>Invest · Concentration callout</t>
        </is>
      </c>
      <c r="B49" s="3" t="inlineStr">
        <is>
          <t>NET-NEW: topHoldingConcentration in src/domain/performance (reuses attribution weights); account-level precedent EXISTS at src/domain/insights/index.ts:45</t>
        </is>
      </c>
      <c r="C49" s="3" t="inlineStr">
        <is>
          <t>marketValue/total per row</t>
        </is>
      </c>
      <c r="D49" s="3" t="inlineStr">
        <is>
          <t>Callout % equals the holding's listed share of total; thresholds are single constants.</t>
        </is>
      </c>
    </row>
    <row r="50" ht="40" customHeight="1">
      <c r="A50" s="2" t="inlineStr">
        <is>
          <t>Invest · Holding value (stocks/funds)</t>
        </is>
      </c>
      <c r="B50" s="3" t="inlineStr">
        <is>
          <t>marketValue — src/domain/performance/index.ts:43; totalShares :33; costBasis :36; avgCost :39</t>
        </is>
      </c>
      <c r="C50" s="3" t="inlineStr">
        <is>
          <t>lots, latest close</t>
        </is>
      </c>
      <c r="D50" s="3" t="inlineStr">
        <is>
          <t>Same figure inside the account balance Net Worth shows (recomputeBalances single writer + assets agreement.test.ts).</t>
        </is>
      </c>
    </row>
    <row r="51" ht="40" customHeight="1">
      <c r="A51" s="2" t="inlineStr">
        <is>
          <t>Invest · If-you-sold-today tax card</t>
        </is>
      </c>
      <c r="B51" s="3" t="inlineStr">
        <is>
          <t>capGains — src/domain/performance/index.ts:53; capGainsTax :67</t>
        </is>
      </c>
      <c r="C51" s="3" t="inlineStr">
        <is>
          <t>lots, price, ltRate/ordinaryRate</t>
        </is>
      </c>
      <c r="D51" s="3" t="inlineStr">
        <is>
          <t>Long + short gains sum to the header gain; labeled Estimate.</t>
        </is>
      </c>
    </row>
    <row r="52" ht="40" customHeight="1">
      <c r="A52" s="2" t="inlineStr">
        <is>
          <t>Invest · Bond current value + as-of</t>
        </is>
      </c>
      <c r="B52" s="3" t="inlineStr">
        <is>
          <t>balance (bond value IS balance — src/domain/bonds/index.ts:1-3) + NET-NEW value_as_of field on AssetAccount (src/domain/assets/index.ts:34)</t>
        </is>
      </c>
      <c r="C52" s="3" t="inlineStr">
        <is>
          <t>balance, value_as_of</t>
        </is>
      </c>
      <c r="D52" s="3" t="inlineStr">
        <is>
          <t>Same balance flows to Net Worth and the nest egg — edit here, everywhere updates.</t>
        </is>
      </c>
    </row>
    <row r="53" ht="40" customHeight="1">
      <c r="A53" s="2" t="inlineStr">
        <is>
          <t>Invest · Bond coupon / yields</t>
        </is>
      </c>
      <c r="B53" s="3" t="inlineStr">
        <is>
          <t>annualCoupon — src/domain/bonds/index.ts:21; currentYield :29; approxYTM :33; yearsToMaturity :24; bondInfo :16</t>
        </is>
      </c>
      <c r="C53" s="3" t="inlineStr">
        <is>
          <t>face_value, coupon_rate, maturity_date, balance</t>
        </is>
      </c>
      <c r="D53" s="3" t="inlineStr">
        <is>
          <t>Coupon $ equals the bond's line inside interestIncomeAnnual (src/domain/bonds/index.ts:62) used by cash-flow income — one coupon figure.</t>
        </is>
      </c>
    </row>
    <row r="54" ht="40" customHeight="1">
      <c r="A54" s="2" t="inlineStr">
        <is>
          <t>Invest · Bond rate-sensitivity card</t>
        </is>
      </c>
      <c r="B54" s="3" t="inlineStr">
        <is>
          <t>NET-NEW: bondRateSensitivity in src/domain/bonds (engine spec 1)</t>
        </is>
      </c>
      <c r="C54" s="3" t="inlineStr">
        <is>
          <t>face, coupon_rate, maturity_date, balance; starting yield = approxYTM</t>
        </is>
      </c>
      <c r="D54" s="3" t="inlineStr">
        <is>
          <t>Starting yield is the SAME approxYTM printed above the card; hidden whenever approxYTM is unavailable.</t>
        </is>
      </c>
    </row>
    <row r="55" ht="40" customHeight="1">
      <c r="A55" s="2" t="inlineStr">
        <is>
          <t>Invest · Alternative value + summary</t>
        </is>
      </c>
      <c r="B55" s="3" t="inlineStr">
        <is>
          <t>isAlternative — src/domain/alternatives/index.ts:11; alternativesSummary :16; typical return via benchmarkReturn (src/domain/assets/index.ts:283) from ASSET_KINDS ret (:97)</t>
        </is>
      </c>
      <c r="C55" s="3" t="inlineStr">
        <is>
          <t>balance, kind</t>
        </is>
      </c>
      <c r="D55" s="3" t="inlineStr">
        <is>
          <t>Group subtotal = alternativesSummary.totalValue = sum of the same balances Net Worth shows.</t>
        </is>
      </c>
    </row>
    <row r="56" ht="40" customHeight="1">
      <c r="A56" s="2" t="inlineStr">
        <is>
          <t>Invest · Reported return (past 12 months), editable in place</t>
        </is>
      </c>
      <c r="B56" s="3" t="inlineStr">
        <is>
          <t>actual_ttm field — src/domain/assets/index.ts:46; editor = TtmEditor (src/screens/RetirementCockpit.tsx:940, save via store.updateAsset :688) extracted to a shared ReportedReturnEditor (NET-NEW extraction, existing logic)</t>
        </is>
      </c>
      <c r="C56" s="3" t="inlineStr">
        <is>
          <t>actual_ttm (decimal, clearable)</t>
        </is>
      </c>
      <c r="D56" s="3" t="inlineStr">
        <is>
          <t>Retirement cockpit reads the same field via portfolioActualReturn (src/domain/assets/index.ts:73) — edit on Invest, Retirement updates; agreement test pins it.</t>
        </is>
      </c>
    </row>
    <row r="57" ht="40" customHeight="1">
      <c r="A57" s="2" t="inlineStr">
        <is>
          <t>Invest · Look back result</t>
        </is>
      </c>
      <c r="B57" s="3" t="inlineStr">
        <is>
          <t>NET-NEW: lookBack in src/domain/performance (engine spec 2), built on the periodReturn/closeAsOf machinery (:105)</t>
        </is>
      </c>
      <c r="C57" s="3" t="inlineStr">
        <is>
          <t>amount, from/to series, monthsBack</t>
        </is>
      </c>
      <c r="D57" s="3" t="inlineStr">
        <is>
          <t>Each path's % equals what that ticker shows on Invest main for the same window (test: lookBack vs periodReturn).</t>
        </is>
      </c>
    </row>
    <row r="58" ht="40" customHeight="1">
      <c r="A58" s="2" t="inlineStr">
        <is>
          <t>Invest · Record transaction / guardrails</t>
        </is>
      </c>
      <c r="B58" s="3" t="inlineStr">
        <is>
          <t>TransactionSheet — src/screens/PerformanceScreen.tsx:421; ledger types + applyTransaction — src/domain/transactions/index.ts:10; bond sale BondsScreen.tsx:135; alt sale OtherInvestmentsScreen.tsx:99</t>
        </is>
      </c>
      <c r="C58" s="3" t="inlineStr">
        <is>
          <t>type, account_id, ticker, shares, price, amount, date</t>
        </is>
      </c>
      <c r="D58" s="3" t="inlineStr">
        <is>
          <t>All classes write one ledger; replaying it reproduces balances (engine contract + tests).</t>
        </is>
      </c>
    </row>
    <row r="59" ht="40" customHeight="1">
      <c r="A59" s="2" t="inlineStr">
        <is>
          <t>Invest · History</t>
        </is>
      </c>
      <c r="B59" s="3" t="inlineStr">
        <is>
          <t>HistorySheet — src/screens/PerformanceScreen.tsx:567; append-only Transaction with created_at (src/domain/transactions/index.ts:22)</t>
        </is>
      </c>
      <c r="C59" s="3" t="inlineStr">
        <is>
          <t>transactions[]</t>
        </is>
      </c>
      <c r="D59" s="3" t="inlineStr">
        <is>
          <t>History is the audit trail of the same balances shown everywhere.</t>
        </is>
      </c>
    </row>
    <row r="60" ht="40" customHeight="1">
      <c r="A60" s="2" t="inlineStr">
        <is>
          <t>Invest · Hide balances</t>
        </is>
      </c>
      <c r="B60" s="3" t="inlineStr">
        <is>
          <t>useMoney + BALANCE_MASK — src/components/useMoney.ts; toggle in TopBar.tsx:100</t>
        </is>
      </c>
      <c r="C60" s="3" t="inlineStr">
        <is>
          <t>hideBalances</t>
        </is>
      </c>
      <c r="D60" s="3" t="inlineStr">
        <is>
          <t>Every money figure on the tab renders through useMoney — masks ALL amounts, keeps % and dates (build-33 mask-ALL rule).</t>
        </is>
      </c>
    </row>
    <row r="61" ht="40" customHeight="1">
      <c r="A61" s="2" t="inlineStr">
        <is>
          <t>Invest · Stale-value nudge (bonds/alts)</t>
        </is>
      </c>
      <c r="B61" s="3" t="inlineStr">
        <is>
          <t>NET-NEW: valueFreshness in src/domain/assets (engine spec 3), modeled on priceFreshness (src/services/marketData.ts:60)</t>
        </is>
      </c>
      <c r="C61" s="3" t="inlineStr">
        <is>
          <t>value_as_of, now</t>
        </is>
      </c>
      <c r="D61" s="3" t="inlineStr">
        <is>
          <t>One 6-month constant shared by bonds and alternatives; list-row '!' and detail nudge fire from the same helper.</t>
        </is>
      </c>
    </row>
    <row r="62" ht="40" customHeight="1">
      <c r="A62" s="2" t="inlineStr">
        <is>
          <t>Invest · Forward what-if paths + range</t>
        </is>
      </c>
      <c r="B62" s="3" t="inlineStr">
        <is>
          <t>projectNestEgg — src/domain/retirement/index.ts:198; range via simulate(with_band) — :115; adoption via the shared F11 sheet</t>
        </is>
      </c>
      <c r="C62" s="3" t="inlineStr">
        <is>
          <t>contribMonthly + addMonthly, expectedReturn, retireAge, invested balances</t>
        </is>
      </c>
      <c r="D62" s="3" t="inlineStr">
        <is>
          <t>Baseline = Plan's projection exactly (shared assumptions, same engine); 'before' chance = hub headline.</t>
        </is>
      </c>
    </row>
    <row r="63" ht="40" customHeight="1">
      <c r="A63" s="2" t="inlineStr">
        <is>
          <t>Invest · Planned contribution chip</t>
        </is>
      </c>
      <c r="B63" s="3" t="inlineStr">
        <is>
          <t>retirementAssumptions.contribMonthly — src/store/useStore.ts:427 (read through the F11 shared source)</t>
        </is>
      </c>
      <c r="C63" s="3" t="inlineStr">
        <is>
          <t>contribMonthly</t>
        </is>
      </c>
      <c r="D63" s="3" t="inlineStr">
        <is>
          <t>Equals Plan hub committed saving + Cash flow planned line — F11 propagation endpoint on Invest.</t>
        </is>
      </c>
    </row>
    <row r="64" ht="40" customHeight="1">
      <c r="A64" s="2" t="inlineStr">
        <is>
          <t>Cash flow · Safe to spend this month</t>
        </is>
      </c>
      <c r="B64" s="3" t="inlineStr">
        <is>
          <t>NET-NEW: F5 paycheck engine (composes existing helpers below)</t>
        </is>
      </c>
      <c r="C64" s="3" t="inlineStr">
        <is>
          <t>F5 cell: guaranteed[], safeDraw, bills[], netSafeToSpend</t>
        </is>
      </c>
      <c r="D64" s="3" t="inlineStr">
        <is>
          <t>Hero = current F2/F5 cell = that month's bar = month-detail total (one agreement test across all four).</t>
        </is>
      </c>
    </row>
    <row r="65" ht="40" customHeight="1">
      <c r="A65" s="2" t="inlineStr">
        <is>
          <t>Cash flow · Safe to spend this year</t>
        </is>
      </c>
      <c r="B65" s="3" t="inlineStr">
        <is>
          <t>NET-NEW: F5 rollup (sum of 12 dated cells)</t>
        </is>
      </c>
      <c r="C65" s="3" t="inlineStr">
        <is>
          <t>rollup.thisYear</t>
        </is>
      </c>
      <c r="D65" s="3" t="inlineStr">
        <is>
          <t>Equals the exact sum of the 12 by-month cells — never monthly × 12.</t>
        </is>
      </c>
    </row>
    <row r="66" ht="40" customHeight="1">
      <c r="A66" s="2" t="inlineStr">
        <is>
          <t>Cash flow · Guaranteed income by source</t>
        </is>
      </c>
      <c r="B66" s="3" t="inlineStr">
        <is>
          <t>retirementIncomeMonthly + currentRetirementIncomeMonthly — src/domain/income/onboarding.ts</t>
        </is>
      </c>
      <c r="C66" s="3" t="inlineStr">
        <is>
          <t>ri_ss, ri_pension, ri_annuities, ri_other (ri_withdrawals/ri_rmd EXCLUDED — replaced by the solved safe draw + the pinned required withdrawal, so nothing is counted twice), ri_*_freq, NET-NEW ri_*_month/ri_*_day</t>
        </is>
      </c>
      <c r="D66" s="3" t="inlineStr">
        <is>
          <t>Named source lines sum to the guaranteed subtotal; same per-source amounts in month detail and Plan.</t>
        </is>
      </c>
    </row>
    <row r="67" ht="40" customHeight="1">
      <c r="A67" s="2" t="inlineStr">
        <is>
          <t>Cash flow · Safe draw</t>
        </is>
      </c>
      <c r="B67" s="3" t="inlineStr">
        <is>
          <t>NET-NEW: F5 solve over simulate (src/domain/retirement/index.ts) + withdrawalPlan/taxBucketSplit (src/domain/decumulation/index.ts) + earmarkedAmount (src/domain/assets)</t>
        </is>
      </c>
      <c r="C67" s="3" t="inlineStr">
        <is>
          <t>live balances by tax bucket, Plan assumptions</t>
        </is>
      </c>
      <c r="D67" s="3" t="inlineStr">
        <is>
          <t>One solved number: identical on hero, month detail, and steer sheet; re-derives on any balance change.</t>
        </is>
      </c>
    </row>
    <row r="68" ht="40" customHeight="1">
      <c r="A68" s="2" t="inlineStr">
        <is>
          <t>Cash flow · Big bills out</t>
        </is>
      </c>
      <c r="B68" s="3" t="inlineStr">
        <is>
          <t>spendByMonth — src/domain/budget/index.ts; upcomingBills — src/domain/cashflow/index.ts</t>
        </is>
      </c>
      <c r="C68" s="3" t="inlineStr">
        <is>
          <t>spendCats nonmonthly: months, dueDay, amount, NET-NEW year</t>
        </is>
      </c>
      <c r="D68" s="3" t="inlineStr">
        <is>
          <t>A month's big-bill total = the same month's dated bills on Bill calendar and Month detail.</t>
        </is>
      </c>
    </row>
    <row r="69" ht="40" customHeight="1">
      <c r="A69" s="2" t="inlineStr">
        <is>
          <t>Cash flow · By-month dated bars</t>
        </is>
      </c>
      <c r="B69" s="3" t="inlineStr">
        <is>
          <t>F2 canonical grid = cashflowYear promoted — src/domain/cashflow/index.ts (~lines 147-232)</t>
        </is>
      </c>
      <c r="C69" s="3" t="inlineStr">
        <is>
          <t>12 cells: calendarMonth, year, label, inflow, outflow, net, runningBalance</t>
        </is>
      </c>
      <c r="D69" s="3" t="inlineStr">
        <is>
          <t>Bars, Bill-calendar rows, and Month detail all read the same cells — no second grid math anywhere.</t>
        </is>
      </c>
    </row>
    <row r="70" ht="40" customHeight="1">
      <c r="A70" s="2" t="inlineStr">
        <is>
          <t>Cash flow · Working in/out/surplus</t>
        </is>
      </c>
      <c r="B70" s="3" t="inlineStr">
        <is>
          <t>incomeMonthlyGrid (src/domain/income/onboarding.ts), spendByMonth (src/domain/budget/index.ts), actualDebtPayment (src/domain/debt/index.ts), surplusByMonth (src/domain/savings/index.ts)</t>
        </is>
      </c>
      <c r="C70" s="3" t="inlineStr">
        <is>
          <t>salaryByMonth, spendCats, debt payments</t>
        </is>
      </c>
      <c r="D70" s="3" t="inlineStr">
        <is>
          <t>Surplus = Home glance = Budget (existing canonical after-debt surplus agreement test, extended here).</t>
        </is>
      </c>
    </row>
    <row r="71" ht="40" customHeight="1">
      <c r="A71" s="2" t="inlineStr">
        <is>
          <t>Cash flow · Spent so far</t>
        </is>
      </c>
      <c r="B71" s="3" t="inlineStr">
        <is>
          <t>budgetVsActual — src/domain/budget/index.ts</t>
        </is>
      </c>
      <c r="C71" s="3" t="inlineStr">
        <is>
          <t>expenses[], planned_total, spent_total</t>
        </is>
      </c>
      <c r="D71" s="3" t="inlineStr">
        <is>
          <t>Matches Budget's this-month planned-vs-actual exactly.</t>
        </is>
      </c>
    </row>
    <row r="72" ht="40" customHeight="1">
      <c r="A72" s="2" t="inlineStr">
        <is>
          <t>Cash flow · Future paycheck projection</t>
        </is>
      </c>
      <c r="B72" s="3" t="inlineStr">
        <is>
          <t>NET-NEW: F5 projection mode over simulate().projected_at_retirement (src/domain/retirement/index.ts) + future ri_* entries</t>
        </is>
      </c>
      <c r="C72" s="3" t="inlineStr">
        <is>
          <t>retire age, projected balance, future Social Security/pension</t>
        </is>
      </c>
      <c r="D72" s="3" t="inlineStr">
        <is>
          <t>Card = Plan's retirement-paycheck numbers (one projection run); 'estimate, not a promise' label is mandatory.</t>
        </is>
      </c>
    </row>
    <row r="73" ht="40" customHeight="1">
      <c r="A73" s="2" t="inlineStr">
        <is>
          <t>Cash flow · Will-it-last strip</t>
        </is>
      </c>
      <c r="B73" s="3" t="inlineStr">
        <is>
          <t>simulate — src/domain/retirement/index.ts</t>
        </is>
      </c>
      <c r="C73" s="3" t="inlineStr">
        <is>
          <t>chance_of_success, band p10/p50/p90, seed</t>
        </is>
      </c>
      <c r="D73" s="3" t="inlineStr">
        <is>
          <t>Identical percentage as Plan — same inputs and same seeded run; Plan is the canonical home.</t>
        </is>
      </c>
    </row>
    <row r="74" ht="40" customHeight="1">
      <c r="A74" s="2" t="inlineStr">
        <is>
          <t>Cash flow · Draw order + balances</t>
        </is>
      </c>
      <c r="B74" s="3" t="inlineStr">
        <is>
          <t>withdrawalOrder + taxBucketSplit — src/domain/decumulation/index.ts; earmarkedAmount — src/domain/assets</t>
        </is>
      </c>
      <c r="C74" s="3" t="inlineStr">
        <is>
          <t>tax_bucket, earmark, age, OrderStep.why</t>
        </is>
      </c>
      <c r="D74" s="3" t="inlineStr">
        <is>
          <t>Bucket balances sum to the safe-draw nest egg and match Net worth's grouping.</t>
        </is>
      </c>
    </row>
    <row r="75" ht="40" customHeight="1">
      <c r="A75" s="2" t="inlineStr">
        <is>
          <t>Cash flow · Required withdrawal (73+)</t>
        </is>
      </c>
      <c r="B75" s="3" t="inlineStr">
        <is>
          <t>rmdAtAge, rmdDivisor, RMD_START_AGE — src/domain/decumulation/index.ts</t>
        </is>
      </c>
      <c r="C75" s="3" t="inlineStr">
        <is>
          <t>age, pre-tax balance</t>
        </is>
      </c>
      <c r="D75" s="3" t="inlineStr">
        <is>
          <t>Same required amount here and in Plan (same helper, same balance).</t>
        </is>
      </c>
    </row>
    <row r="76" ht="40" customHeight="1">
      <c r="A76" s="2" t="inlineStr">
        <is>
          <t>Bill calendar · Cash on hand</t>
        </is>
      </c>
      <c r="B76" s="3" t="inlineStr">
        <is>
          <t>cashTotal — src/domain/assets</t>
        </is>
      </c>
      <c r="C76" s="3" t="inlineStr">
        <is>
          <t>cash-bucket account balances</t>
        </is>
      </c>
      <c r="D76" s="3" t="inlineStr">
        <is>
          <t>Equals Net worth's cash figure for the same accounts.</t>
        </is>
      </c>
    </row>
    <row r="77" ht="40" customHeight="1">
      <c r="A77" s="2" t="inlineStr">
        <is>
          <t>Bill calendar · Coming up</t>
        </is>
      </c>
      <c r="B77" s="3" t="inlineStr">
        <is>
          <t>upcomingBills — src/domain/cashflow/index.ts</t>
        </is>
      </c>
      <c r="C77" s="3" t="inlineStr">
        <is>
          <t>dueDate, needByDate, askByDate, availableByNeed, shortfall</t>
        </is>
      </c>
      <c r="D77" s="3" t="inlineStr">
        <is>
          <t>Bill amount + date match Month detail and that month's Out column.</t>
        </is>
      </c>
    </row>
    <row r="78" ht="40" customHeight="1">
      <c r="A78" s="2" t="inlineStr">
        <is>
          <t>Bill calendar · Deferred debt</t>
        </is>
      </c>
      <c r="B78" s="3" t="inlineStr">
        <is>
          <t>NET-NEW field Debt.first_payment_date + requiredPayment/payoffPlan — src/domain/debt/index.ts</t>
        </is>
      </c>
      <c r="C78" s="3" t="inlineStr">
        <is>
          <t>first_payment_date, due_day, monthly_payment, interest_rate_apr</t>
        </is>
      </c>
      <c r="D78" s="3" t="inlineStr">
        <is>
          <t>No payment appears in any month before the first payment date on ANY surface, and the debt-free date reflects the deferral (one test walks grid, calendar, detail, payoff).</t>
        </is>
      </c>
    </row>
    <row r="79" ht="40" customHeight="1">
      <c r="A79" s="2" t="inlineStr">
        <is>
          <t>Month detail · All rows</t>
        </is>
      </c>
      <c r="B79" s="3" t="inlineStr">
        <is>
          <t>Pure renderer over one F2/F5 cell (no local math)</t>
        </is>
      </c>
      <c r="C79" s="3" t="inlineStr">
        <is>
          <t>the tapped cell object</t>
        </is>
      </c>
      <c r="D79" s="3" t="inlineStr">
        <is>
          <t>Visible rows sum exactly to the bar/headline — enforced by test, not by hope.</t>
        </is>
      </c>
    </row>
    <row r="80" ht="40" customHeight="1">
      <c r="A80" s="2" t="inlineStr">
        <is>
          <t>Cash flow · Monthly income capture</t>
        </is>
      </c>
      <c r="B80" s="3" t="inlineStr">
        <is>
          <t>ri_* fields + retirementIncomeMonthly / currentRetirementIncomeMonthly — src/domain/income/onboarding.ts (screen NET-NEW; ri_*_day/_month placement fields NET-NEW)</t>
        </is>
      </c>
      <c r="C80" s="3" t="inlineStr">
        <is>
          <t>ri_ss, ri_pension, ri_annuities, freq, day/month</t>
        </is>
      </c>
      <c r="D80" s="3" t="inlineStr">
        <is>
          <t>Saved amounts = the named 'Guaranteed' lines on Home/Cash flow/Month detail — one source (B-31).</t>
        </is>
      </c>
    </row>
    <row r="81" ht="40" customHeight="1">
      <c r="A81" s="2" t="inlineStr">
        <is>
          <t>Plan · Will-it-last chance + band</t>
        </is>
      </c>
      <c r="B81" s="3" t="inlineStr">
        <is>
          <t>simulate() -- src/domain/retirement/index.ts:115 (seeded; with_band returns per-age low/typical/high)</t>
        </is>
      </c>
      <c r="C81" s="3" t="inlineStr">
        <is>
          <t>chance_of_success; BandPoint[age, p10, p50, p90]; inputs resolved from retirementAssumptions (src/store/useStore.ts:233, defaults :427)</t>
        </is>
      </c>
      <c r="D81" s="3" t="inlineStr">
        <is>
          <t>One selectWillItLast selector (NET-NEW) feeds Plan hub, Home hero, Cash flow strip, and the detail screen; cross-screen agreement test pins the digit.</t>
        </is>
      </c>
    </row>
    <row r="82" ht="40" customHeight="1">
      <c r="A82" s="2" t="inlineStr">
        <is>
          <t>Plan · Shared assumptions object</t>
        </is>
      </c>
      <c r="B82" s="3" t="inlineStr">
        <is>
          <t>retirementAssumptions + setRetirementAssumptions -- src/store/useStore.ts:233 / :628</t>
        </is>
      </c>
      <c r="C82" s="3" t="inlineStr">
        <is>
          <t>retireAge, horizonAge, contribMonthly, spendMonthly, guaranteedMonthly, ssEligible, ssMonthly, ssClaimAge, expectedReturn, inflation, risk (+ NET-NEW: commitments[], rothConversionThisYear, planHistory)</t>
        </is>
      </c>
      <c r="D82" s="3" t="inlineStr">
        <is>
          <t>The ONE write target for every adoption; today read only by RetirementCockpit + SharpenPlanScreen -- v1 wires Home, Cash flow (F5), and Net worth projection to read it (core F11 build).</t>
        </is>
      </c>
    </row>
    <row r="83" ht="40" customHeight="1">
      <c r="A83" s="2" t="inlineStr">
        <is>
          <t>Plan · Saved scenarios</t>
        </is>
      </c>
      <c r="B83" s="3" t="inlineStr">
        <is>
          <t>saveRetirementScenario / deleteRetirementScenario / retirementScenarios -- src/store/useStore.ts:630-635 / :636 / :235</t>
        </is>
      </c>
      <c r="C83" s="3" t="inlineStr">
        <is>
          <t>id, name, createdAt, assumptions snapshot, retireAge, chance (+ NET-NEW: patch)</t>
        </is>
      </c>
      <c r="D83" s="3" t="inlineStr">
        <is>
          <t>Saving never changes the live plan; reopened scenarios re-run against today's numbers and show both saved and current chance.</t>
        </is>
      </c>
    </row>
    <row r="84" ht="40" customHeight="1">
      <c r="A84" s="2" t="inlineStr">
        <is>
          <t>Plan · Social Security monthly by claim age</t>
        </is>
      </c>
      <c r="B84" s="3" t="inlineStr">
        <is>
          <t>NET-NEW: F8 ssBenefitAtClaimAge(statementMonthly, claimAge) -- standard early-reduction / delayed-credit factors on the user's own statement amount</t>
        </is>
      </c>
      <c r="C84" s="3" t="inlineStr">
        <is>
          <t>ssMonthly (user input), claimAge 62/67/70 -&gt; monthly; lifetime = monthly x months to the live-to slider age</t>
        </is>
      </c>
      <c r="D84" s="3" t="inlineStr">
        <is>
          <t>Age-67 row equals the statement amount exactly (factor 1.0), unit-tested; adopted option's monthly = guaranteedMonthly in simulate() = Cash flow's post-claim deposit line.</t>
        </is>
      </c>
    </row>
    <row r="85" ht="40" customHeight="1">
      <c r="A85" s="2" t="inlineStr">
        <is>
          <t>Plan · Claim-age effect on will-it-last</t>
        </is>
      </c>
      <c r="B85" s="3" t="inlineStr">
        <is>
          <t>simulate() with guaranteed_start_age (field EXISTS on RetirementInputs) -- src/domain/retirement/index.ts</t>
        </is>
      </c>
      <c r="C85" s="3" t="inlineStr">
        <is>
          <t>guaranteed_start_age = 62/67/70; guaranteed_monthly_income = benefit at that age</t>
        </is>
      </c>
      <c r="D85" s="3" t="inlineStr">
        <is>
          <t>Bar for the adopted claim age = hub headline percent, same seed and inputs.</t>
        </is>
      </c>
    </row>
    <row r="86" ht="40" customHeight="1">
      <c r="A86" s="2" t="inlineStr">
        <is>
          <t>Plan · Multi-goal capacity verdict</t>
        </is>
      </c>
      <c r="B86" s="3" t="inlineStr">
        <is>
          <t>availableToSaveSummary() -- src/domain/goals/index.ts:70; NET-NEW F4 weigher does the combined subtraction</t>
        </is>
      </c>
      <c r="C86" s="3" t="inlineStr">
        <is>
          <t>capacity, committed = sum of toggled goal monthlies, surplus/shortfall</t>
        </is>
      </c>
      <c r="D86" s="3" t="inlineStr">
        <is>
          <t>Capacity = Cash flow tab's available-to-save to the dollar (same helper); shortfall here can never contradict Cash flow.</t>
        </is>
      </c>
    </row>
    <row r="87" ht="40" customHeight="1">
      <c r="A87" s="2" t="inlineStr">
        <is>
          <t>Plan · Goal finish dates</t>
        </is>
      </c>
      <c r="B87" s="3" t="inlineStr">
        <is>
          <t>monthsToGoal() / requiredMonthly() -- src/domain/goals/index.ts:116 / :108; goals seeded via seedGoals (src/store/useStore.ts:583)</t>
        </is>
      </c>
      <c r="C87" s="3" t="inlineStr">
        <is>
          <t>per goal: target, saved, monthlyAmount -&gt; end date</t>
        </is>
      </c>
      <c r="D87" s="3" t="inlineStr">
        <is>
          <t>Finish date in the composer = finish date on any other goal surface at the same monthly amount.</t>
        </is>
      </c>
    </row>
    <row r="88" ht="40" customHeight="1">
      <c r="A88" s="2" t="inlineStr">
        <is>
          <t>Plan · Extra-on-debt payoff</t>
        </is>
      </c>
      <c r="B88" s="3" t="inlineStr">
        <is>
          <t>payoffPlan() -- src/domain/debt/index.ts:96</t>
        </is>
      </c>
      <c r="C88" s="3" t="inlineStr">
        <is>
          <t>debts + extraMonthly -&gt; payoff month, interest saved</t>
        </is>
      </c>
      <c r="D88" s="3" t="inlineStr">
        <is>
          <t>Payoff month here = Money/Debts screen for the same extra -- one call path.</t>
        </is>
      </c>
    </row>
    <row r="89" ht="40" customHeight="1">
      <c r="A89" s="2" t="inlineStr">
        <is>
          <t>Plan · Retire-age effect</t>
        </is>
      </c>
      <c r="B89" s="3" t="inlineStr">
        <is>
          <t>solveRetireAge() -- src/domain/retirement/index.ts:225</t>
        </is>
      </c>
      <c r="C89" s="3" t="inlineStr">
        <is>
          <t>annual_contribution = retirement dial x 12; other inputs from shared assumptions</t>
        </is>
      </c>
      <c r="D89" s="3" t="inlineStr">
        <is>
          <t>'Before' retire age and chance = hub's current numbers, read from the same selector.</t>
        </is>
      </c>
    </row>
    <row r="90" ht="40" customHeight="1">
      <c r="A90" s="2" t="inlineStr">
        <is>
          <t>Plan · Roth buckets + balances</t>
        </is>
      </c>
      <c r="B90" s="3" t="inlineStr">
        <is>
          <t>taxBucketSplit() -- src/domain/decumulation/index.ts:10</t>
        </is>
      </c>
      <c r="C90" s="3" t="inlineStr">
        <is>
          <t>accounts -&gt; taxable / pre-tax / tax-free / cash</t>
        </is>
      </c>
      <c r="D90" s="3" t="inlineStr">
        <is>
          <t>Pre-tax balance on the Roth screen = Net worth by-type pre-tax bucket, agreement-tested.</t>
        </is>
      </c>
    </row>
    <row r="91" ht="40" customHeight="1">
      <c r="A91" s="2" t="inlineStr">
        <is>
          <t>Plan · Roth tax-now estimate</t>
        </is>
      </c>
      <c r="B91" s="3" t="inlineStr">
        <is>
          <t>rothConversion() -- src/domain/planning/index.ts:91 (planning module, not retirement)</t>
        </is>
      </c>
      <c r="C91" s="3" t="inlineStr">
        <is>
          <t>conversionAmount x estimated rate; rate source shown and editable</t>
        </is>
      </c>
      <c r="D91" s="3" t="inlineStr">
        <is>
          <t>Income behind the rate = the same income Cash flow uses; adopted tax cost appears in Cash flow's April as a planned expense with the same figure.</t>
        </is>
      </c>
    </row>
    <row r="92" ht="40" customHeight="1">
      <c r="A92" s="2" t="inlineStr">
        <is>
          <t>Plan · Required minimum withdrawals</t>
        </is>
      </c>
      <c r="B92" s="3" t="inlineStr">
        <is>
          <t>rmdAtAge() / RMD_START_AGE=73 / withdrawalOrder() -- src/domain/decumulation/index.ts:100 / :82 / :64</t>
        </is>
      </c>
      <c r="C92" s="3" t="inlineStr">
        <is>
          <t>pre-tax balance projected to each year from age 73 -&gt; mandated amount per year</t>
        </is>
      </c>
      <c r="D92" s="3" t="inlineStr">
        <is>
          <t>Age-73 figure on the Roth screen = year-73 row on the retirement-transition schedule -- one rmdAtAge() path.</t>
        </is>
      </c>
    </row>
    <row r="93" ht="40" customHeight="1">
      <c r="A93" s="2" t="inlineStr">
        <is>
          <t>Plan · Adoption diff + revert</t>
        </is>
      </c>
      <c r="B93" s="3" t="inlineStr">
        <is>
          <t>NET-NEW: F11 scenarioDiff(base, patch), adoptPlan(patch, label), revertPlan() -- snapshot stack planHistory (new store field)</t>
        </is>
      </c>
      <c r="C93" s="3" t="inlineStr">
        <is>
          <t>diff rows {label, old, new}; planHistory {snapshot, label, date} x5</t>
        </is>
      </c>
      <c r="D93" s="3" t="inlineStr">
        <is>
          <t>Preview payload = write payload (same object, contract-tested); adopt-then-revert round-trip leaves every screen byte-identical.</t>
        </is>
      </c>
    </row>
    <row r="94" ht="40" customHeight="1">
      <c r="A94" s="2" t="inlineStr">
        <is>
          <t>Plan · Sharpen-your-plan meter</t>
        </is>
      </c>
      <c r="B94" s="3" t="inlineStr">
        <is>
          <t>planCompleteness() -- src/domain/completeness/index.ts:15; screen exists: src/screens/SharpenPlanScreen.tsx</t>
        </is>
      </c>
      <c r="C94" s="3" t="inlineStr">
        <is>
          <t>checks[], doneCount, total, pct</t>
        </is>
      </c>
      <c r="D94" s="3" t="inlineStr">
        <is>
          <t>Same count on hub, detail screen, and SharpenPlanScreen -- one helper.</t>
        </is>
      </c>
    </row>
    <row r="95" ht="40" customHeight="1">
      <c r="A95" s="2" t="inlineStr">
        <is>
          <t>Plan · Required-withdrawal screen (this year + schedule)</t>
        </is>
      </c>
      <c r="B95" s="3" t="inlineStr">
        <is>
          <t>rmdAtAge / RMD_START_AGE — src/domain/decumulation/index.ts:100/:82; taken-so-far from the transaction ledger; future years via projectNestEgg (src/domain/retirement/index.ts:198)</t>
        </is>
      </c>
      <c r="C95" s="3" t="inlineStr">
        <is>
          <t>pre-tax balance, age, divisors, WITHDRAWAL ledger rows, shared plan assumptions</t>
        </is>
      </c>
      <c r="D95" s="3" t="inlineStr">
        <is>
          <t>Required amount = draw-order sheet's pinned step = Roth screen's year-73 comparison — one helper; schedule re-derives when a scenario is adopted (F11).</t>
        </is>
      </c>
    </row>
    <row r="96" ht="32" customHeight="1">
      <c r="A96" s="2" t="inlineStr">
        <is>
          <t>Home/Cash flow · '+ Expense' floating button (DECIDED)</t>
        </is>
      </c>
      <c r="B96" s="3" t="inlineStr">
        <is>
          <t>NET-NEW floating button → Quick-add expense form; top-bar NW chip removed (TopBar.tsx)</t>
        </is>
      </c>
      <c r="C96" s="3" t="inlineStr">
        <is>
          <t>none</t>
        </is>
      </c>
      <c r="D96" s="3" t="inlineStr">
        <is>
          <t>Two screens, same corner, same label; B-49 pin unaffected; lists get bottom padding.</t>
        </is>
      </c>
    </row>
    <row r="97" ht="32" customHeight="1">
      <c r="A97" s="2" t="inlineStr">
        <is>
          <t>Invest · Where the return came from</t>
        </is>
      </c>
      <c r="B97" s="3" t="inlineStr">
        <is>
          <t>NET-NEW roll-up over ledger SELL/DIVIDEND/INTEREST/COUPON + unrealized math</t>
        </is>
      </c>
      <c r="C97" s="3" t="inlineStr">
        <is>
          <t>transactions by type + period</t>
        </is>
      </c>
      <c r="D97" s="3" t="inlineStr">
        <is>
          <t>Four lines sum to the headline period return.</t>
        </is>
      </c>
    </row>
    <row r="98" ht="32" customHeight="1">
      <c r="A98" s="2" t="inlineStr">
        <is>
          <t>Cash flow · Quick-add expense</t>
        </is>
      </c>
      <c r="B98" s="3" t="inlineStr">
        <is>
          <t>expenses store + budget categories (budgetVsActual) + receipt OCR (existing)</t>
        </is>
      </c>
      <c r="C98" s="3" t="inlineStr">
        <is>
          <t>amount, category, date, note</t>
        </is>
      </c>
      <c r="D98" s="3" t="inlineStr">
        <is>
          <t>Saved expenses = the 'spent so far' figure on Cash flow AND Budget — one store.</t>
        </is>
      </c>
    </row>
    <row r="99" ht="32" customHeight="1">
      <c r="A99" s="2" t="inlineStr">
        <is>
          <t>Net worth · Manual add/edit (dynamic)</t>
        </is>
      </c>
      <c r="B99" s="3" t="inlineStr">
        <is>
          <t>AssetSheet/BondEditor/AltEditor/DebtSheet field sets → store.addAsset/updateAsset</t>
        </is>
      </c>
      <c r="C99" s="3" t="inlineStr">
        <is>
          <t>per class + tax_bucket + retirement_pct + value_as_of</t>
        </is>
      </c>
      <c r="D99" s="3" t="inlineStr">
        <is>
          <t>One write path; same fields as the per-class editors.</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113"/>
  <sheetViews>
    <sheetView workbookViewId="0">
      <selection activeCell="A1" sqref="A1"/>
    </sheetView>
  </sheetViews>
  <sheetFormatPr baseColWidth="8" defaultRowHeight="15"/>
  <cols>
    <col width="12" customWidth="1" min="1" max="1"/>
    <col width="10" customWidth="1" min="2" max="2"/>
    <col width="60" customWidth="1" min="3" max="3"/>
    <col width="40" customWidth="1" min="4" max="4"/>
    <col width="30" customWidth="1" min="5" max="5"/>
  </cols>
  <sheetData>
    <row r="1">
      <c r="A1" s="19" t="inlineStr">
        <is>
          <t>Date</t>
        </is>
      </c>
      <c r="B1" s="19" t="inlineStr">
        <is>
          <t>Sheet</t>
        </is>
      </c>
      <c r="C1" s="19" t="inlineStr">
        <is>
          <t>Change</t>
        </is>
      </c>
      <c r="D1" s="19" t="inlineStr">
        <is>
          <t>Why</t>
        </is>
      </c>
      <c r="E1" s="19" t="inlineStr">
        <is>
          <t>Approved by</t>
        </is>
      </c>
    </row>
    <row r="2">
      <c r="A2" s="4" t="inlineStr">
        <is>
          <t>2026-07-19</t>
        </is>
      </c>
      <c r="B2" s="4" t="inlineStr">
        <is>
          <t>Invest</t>
        </is>
      </c>
      <c r="C2" s="4" t="inlineStr">
        <is>
          <t>What-if (Look ahead) redesigned: inline age + retire-at sliders saved to canonical fields (birthYear, retirementAssumptions.retireAge); info dots on the delta and Projected nest egg with the estimate explanation; plan-basics empty state removed; title "What if I save more?"</t>
        </is>
      </c>
      <c r="D2" s="4" t="inlineStr">
        <is>
          <t>Founder direction during Build-43 review: reduce friction — user enters information on the screen instead of Home → Sharpen your plan → …; no duplicate fields.</t>
        </is>
      </c>
      <c r="E2" s="4" t="inlineStr">
        <is>
          <t>Founder — APPROVED 2026-07-19 (with mock lookahead-v3 FINAL)</t>
        </is>
      </c>
    </row>
    <row r="3">
      <c r="A3" s="4" t="inlineStr">
        <is>
          <t>2026-07-19</t>
        </is>
      </c>
      <c r="B3" s="4" t="inlineStr">
        <is>
          <t>Cash flow</t>
        </is>
      </c>
      <c r="C3" s="4" t="inlineStr">
        <is>
          <t>v1.2 → v1.3: THE CASH FLOW SURFACE — one screen, four tabs (This month/Income/Spending/Debts) replacing Cash flow + Budget screens; income pop-up (steady/varies); month switcher past/future; big-ticket radar; Teller-ready source chips; Budget screen retires; menu updated</t>
        </is>
      </c>
      <c r="D3" s="4" t="inlineStr">
        <is>
          <t>Founder-identified duplication; principal-PM research (money-ia-redesign-v1); reduce friction</t>
        </is>
      </c>
      <c r="E3" s="4" t="inlineStr">
        <is>
          <t>Founder — APPROVED 2026-07-19 ("cashflow. Approve.")</t>
        </is>
      </c>
    </row>
    <row r="4">
      <c r="A4" s="4" t="inlineStr">
        <is>
          <t>2026-07-19</t>
        </is>
      </c>
      <c r="B4" s="4" t="inlineStr">
        <is>
          <t>Cash flow</t>
        </is>
      </c>
      <c r="C4" s="4" t="inlineStr">
        <is>
          <t>Income pop-up (v2): "Which 12 months are you entering?" — Calendar year N or Next 12 months; every month chip and editor carries month + year (incl. across the New-Year boundary); both frames write the same canonical calendar slots; note "this yearly pattern repeats". Receipt scanning: totals never read from payment-mechanics lines.</t>
        </is>
      </c>
      <c r="D4" s="4" t="inlineStr">
        <is>
          <t>Founder Build-44 findings (rows 33-34)</t>
        </is>
      </c>
      <c r="E4" s="4" t="inlineStr">
        <is>
          <t>Founder — directed 2026-07-19</t>
        </is>
      </c>
    </row>
    <row r="5">
      <c r="A5" s="4" t="inlineStr">
        <is>
          <t>2026-07-19</t>
        </is>
      </c>
      <c r="B5" s="4" t="inlineStr">
        <is>
          <t>Cash flow</t>
        </is>
      </c>
      <c r="C5" s="4" t="inlineStr">
        <is>
          <t>Spending tab conformance: month header with the sum, recent rows with source chips (by hand / imported; bank arrives with Teller), categories-vs-plan card, All-transactions and Import doors opening the proven full bodies; day-one three doors.</t>
        </is>
      </c>
      <c r="D5" s="4" t="inlineStr">
        <is>
          <t>Founder Build-44 finding (row 40) — conform to the approved mock</t>
        </is>
      </c>
      <c r="E5" s="4" t="inlineStr">
        <is>
          <t>Approved mock is the spec</t>
        </is>
      </c>
    </row>
    <row r="6">
      <c r="A6" t="inlineStr">
        <is>
          <t>2026-07-28</t>
        </is>
      </c>
      <c r="B6" t="inlineStr">
        <is>
          <t>Home</t>
        </is>
      </c>
      <c r="C6" t="inlineStr">
        <is>
          <t>Empty-state odds strip RESOLVED: the locked Sample gauge ("Sample: 84% to age 92") is the approved empty state. The later 3-questions-invite mock is retired.</t>
        </is>
      </c>
      <c r="D6" t="inlineStr">
        <is>
          <t>Two approvals conflicted by date (Jul-15 gauge vs later mock); the July-24 audit surfaced it; founder picked the gauge.</t>
        </is>
      </c>
      <c r="E6" t="inlineStr">
        <is>
          <t>Founder — DECIDED 2026-07-28</t>
        </is>
      </c>
    </row>
    <row r="7">
      <c r="A7" t="inlineStr">
        <is>
          <t>2026-07-28</t>
        </is>
      </c>
      <c r="B7" t="inlineStr">
        <is>
          <t>Net worth / Connect / Settings</t>
        </is>
      </c>
      <c r="C7" t="inlineStr">
        <is>
          <t>Disconnect promise UNIFIED: on disconnect the user is offered the choice — keep the numbers as a by-hand account, or delete the connection’s data. Consent copy, Settings, and the future account-page door all state this same promise. Exact copy rides the Build-46 item walk for approval.</t>
        </is>
      </c>
      <c r="D7" t="inlineStr">
        <is>
          <t>Doc said "numbers stay", shipped consent said "we delete" — behavior in Settings already offered the choice; founder aligned the promise to the choice.</t>
        </is>
      </c>
      <c r="E7" t="inlineStr">
        <is>
          <t>Founder — DECIDED 2026-07-28</t>
        </is>
      </c>
    </row>
    <row r="8">
      <c r="A8" t="inlineStr">
        <is>
          <t>2026-07-28</t>
        </is>
      </c>
      <c r="B8" t="inlineStr">
        <is>
          <t>Net worth</t>
        </is>
      </c>
      <c r="C8" t="inlineStr">
        <is>
          <t>Emergency-cushion card ("X months of essentials", below the fold) REINSTATED as to-build: it returns to scope, mock first — founder approves the drawn Net worth screen before any code.</t>
        </is>
      </c>
      <c r="D8" t="inlineStr">
        <is>
          <t>Doc specified it; v7 FINAL mock dropped it; the July-24 audit put the drop-or-build call to the founder, who chose build.</t>
        </is>
      </c>
      <c r="E8" t="inlineStr">
        <is>
          <t>Founder — DECIDED 2026-07-28 (build after mock approval)</t>
        </is>
      </c>
    </row>
    <row r="9">
      <c r="A9" t="inlineStr">
        <is>
          <t>2026-07-28</t>
        </is>
      </c>
      <c r="B9" t="inlineStr">
        <is>
          <t>All screens</t>
        </is>
      </c>
      <c r="C9" t="inlineStr">
        <is>
          <t>Type-size question CLOSED: dense tables (Invest winners/laggards, holdings list) keep their approved compact sizes; the 17-point money floor applies to heroes and standalone money only.</t>
        </is>
      </c>
      <c r="D9" t="inlineStr">
        <is>
          <t>Long-open decision (17pt floor vs dense tables); the approved v7 tables set the precedent; founder confirmed.</t>
        </is>
      </c>
      <c r="E9" t="inlineStr">
        <is>
          <t>Founder — DECIDED 2026-07-28</t>
        </is>
      </c>
    </row>
    <row r="10">
      <c r="A10" t="inlineStr">
        <is>
          <t>2026-07-28</t>
        </is>
      </c>
      <c r="B10" t="inlineStr">
        <is>
          <t>Screen inventory</t>
        </is>
      </c>
      <c r="C10" t="inlineStr">
        <is>
          <t>Legacy modules (Estate, Insurance, Tax organizer, Job safety, Credit) STAY in the v1 launch. They remain rows in the 97-row launch sign-off walk and must each pass it.</t>
        </is>
      </c>
      <c r="D10" t="inlineStr">
        <is>
          <t>Not covered by FCC docs; audit asked keep-vs-hide; founder chose keep for launch value.</t>
        </is>
      </c>
      <c r="E10" t="inlineStr">
        <is>
          <t>Founder — DECIDED 2026-07-28</t>
        </is>
      </c>
    </row>
    <row r="11">
      <c r="A11" t="inlineStr">
        <is>
          <t>2026-07-28</t>
        </is>
      </c>
      <c r="B11" t="inlineStr">
        <is>
          <t>All screens</t>
        </is>
      </c>
      <c r="C11" t="inlineStr">
        <is>
          <t>Chart colors: the UX doc’s validated colorblind-safe palettes WILL BE ADOPTED app-wide (one consistent set; e.g. Cash gets one color everywhere). Recolored mocks of every affected chart come first; nothing changes until the founder approves the pictures.</t>
        </is>
      </c>
      <c r="D11" t="inlineStr">
        <is>
          <t>Shipped colors drifted between screens and the validated palettes were never adopted; colorblind-safe is a stated UX standard.</t>
        </is>
      </c>
      <c r="E11" t="inlineStr">
        <is>
          <t>Founder — DECIDED 2026-07-28 (adopt after mock approval)</t>
        </is>
      </c>
    </row>
    <row r="12">
      <c r="A12" t="inlineStr">
        <is>
          <t>2026-07-28</t>
        </is>
      </c>
      <c r="B12" t="inlineStr">
        <is>
          <t>Process</t>
        </is>
      </c>
      <c r="C12" t="inlineStr">
        <is>
          <t>STANDING RULE ADOPTED: every founder approval gets a dated row in this Changelog tab the same day, alongside the mock. Also recorded in the repo’s CLAUDE.md.</t>
        </is>
      </c>
      <c r="D12" t="inlineStr">
        <is>
          <t>Root cause of doc-vs-code drift found by the July-24 audit: dozens of July approvals, 4 changelog rows.</t>
        </is>
      </c>
      <c r="E12" t="inlineStr">
        <is>
          <t>Founder — ADOPTED 2026-07-28</t>
        </is>
      </c>
    </row>
    <row r="13">
      <c r="A13" t="inlineStr">
        <is>
          <t>2026-07-29</t>
        </is>
      </c>
      <c r="B13" t="inlineStr">
        <is>
          <t>All screens</t>
        </is>
      </c>
      <c r="C13" t="inlineStr">
        <is>
          <t>BUILD-46 PAYLOAD BUILT — all 16 walk rows approved verbally ("build all 16") and coded with pinning tests: Social-Security odds use the claim-age-adjusted check on every surface; unpriced holdings show what-you-paid; insights pop-up masks; bond/alt sales write SELL ledger rows; one shared market-average formula; equity vests land in their months on every view; Net worth gains the path-ahead row and the By class/institution/type pills (v7 FINAL); dollar-first insight wording; acronyms spelled out; one estimate tag + one trying-it-out sentence; 44pt tap-target fixes with ratchet; paycheck-card wording; spoken labels say "hidden" (class-fixed with guard); one offer-the-choice disconnect promise. Suite 1,270 → 1,289 green.</t>
        </is>
      </c>
      <c r="D13" t="inlineStr">
        <is>
          <t>Founder approval 2026-07-29 (Build-46 walk, all rows)</t>
        </is>
      </c>
      <c r="E13" t="inlineStr">
        <is>
          <t>Founder — APPROVED 2026-07-29</t>
        </is>
      </c>
    </row>
    <row r="14">
      <c r="A14" t="inlineStr">
        <is>
          <t>2026-07-29</t>
        </is>
      </c>
      <c r="B14" t="inlineStr">
        <is>
          <t>Invest</t>
        </is>
      </c>
      <c r="C14" t="inlineStr">
        <is>
          <t>Nest-egg info-dot spec updated to the founder’s approved copy (2026-07-19) — the doc still carried the pre-approval wording; the app was already correct (hand-verified in git).</t>
        </is>
      </c>
      <c r="D14" t="inlineStr">
        <is>
          <t>July-24 audit item 32 resolved as doc-stale, not code-drift</t>
        </is>
      </c>
      <c r="E14" t="inlineStr">
        <is>
          <t>Doc correction — evidence in git history</t>
        </is>
      </c>
    </row>
    <row r="15">
      <c r="A15" t="inlineStr">
        <is>
          <t>2026-07-30</t>
        </is>
      </c>
      <c r="B15" t="inlineStr">
        <is>
          <t>All screens</t>
        </is>
      </c>
      <c r="C15" t="inlineStr">
        <is>
          <t>BUILD-47 WALK BUILT — all 25 rows approved verbally ("Approve all 25") and coded with pins: HSA honest cap · SS claim-NOW at 68-69 · RMD card taken-check · value-as-of in bond/alt editors · undated-value nudge · rothConversionCost canonical · capacity derived from surplusByMonth · sourceWording shared · RMD schedule on the shared growth step · snapshot reads blendedReturn · HeroAmount (5 heroes) · hidden-balances banner ×5 tabs · pull-to-refresh · approved door lines · Roth banner+save+dated hub to-do · period sync · tappable concentration · double-fire suppression · possible_duplicate flag (incl. manual) · Reduce Motion ×19 modal files · component spoken label · shared picker naming · confirm-before-remove · plain income note+door · add-any-income-source. Plus B46 findings 7/8/10 accuracy fixes. Suite 1,289 → 1,311.</t>
        </is>
      </c>
      <c r="D15" t="inlineStr">
        <is>
          <t>Founder approval 2026-07-30 (Build-47 walk, all rows)</t>
        </is>
      </c>
      <c r="E15" t="inlineStr">
        <is>
          <t>Founder — APPROVED 2026-07-30</t>
        </is>
      </c>
    </row>
    <row r="16">
      <c r="A16" t="inlineStr">
        <is>
          <t>2026-07-30</t>
        </is>
      </c>
      <c r="B16" t="inlineStr">
        <is>
          <t>All screens</t>
        </is>
      </c>
      <c r="C16" t="inlineStr">
        <is>
          <t>VALIDATED COLOR PALETTES ADOPTED (founder YES on chart-palettes-v2 FINAL): ChartPalette + ClassMarkColors moved to the UX doc's colorblind-validated fixed-order set (#2a78d6 stocks · #1baf7a cash · #eda100 real estate · #4a3aa7 bonds · #eb6834 alternatives · #e87ba4 personal · #898781 mixed); successGreen marks → the validated good step #0ca30c. Colors ONLY — layouts/words/numbers unchanged per the mock's stated rule. Exact values pinned by test.</t>
        </is>
      </c>
      <c r="D16" t="inlineStr">
        <is>
          <t>UX doc Color tab (validated set was specified, never adopted); founder approval 2026-07-30</t>
        </is>
      </c>
      <c r="E16" t="inlineStr">
        <is>
          <t>Founder — APPROVED 2026-07-30 ("yes")</t>
        </is>
      </c>
    </row>
    <row r="17">
      <c r="A17" t="inlineStr">
        <is>
          <t>2026-07-31</t>
        </is>
      </c>
      <c r="B17" t="inlineStr">
        <is>
          <t>Home · Net worth</t>
        </is>
      </c>
      <c r="C17" t="inlineStr">
        <is>
          <t>STALENESS STAMPS BUILT (mock #4 approved with founder change): when a connected account is 3+ days old, the Home hero and Net worth hero carry one amber line inside the box — "⏱ &lt;institution&gt; part as of &lt;date&gt; — N days old · pull to refresh" — left-justified like their sibling lines. The standalone stale line now serves the retired lens only (its hero has no investments box).</t>
        </is>
      </c>
      <c r="D17" t="inlineStr">
        <is>
          <t>Founder approval 2026-07-31 with the left-justified change; mock v2 = as-built record</t>
        </is>
      </c>
      <c r="E17" t="inlineStr">
        <is>
          <t>Founder — APPROVED 2026-07-31</t>
        </is>
      </c>
    </row>
    <row r="18">
      <c r="A18" t="inlineStr">
        <is>
          <t>2026-07-31</t>
        </is>
      </c>
      <c r="B18" t="inlineStr">
        <is>
          <t>NW · Invest · Home · app-wide</t>
        </is>
      </c>
      <c r="C18" t="inlineStr">
        <is>
          <t>MOCK-BATCH VERDICT ROUND BUILT: separator dots = the DARKER designed glyph (founder pick C — visibility for 55-70 eyes; Colors.sepDot token + DotJoined on marquee lines) · source chips on NW rows (approved) · cushion card (approved; 3 states) · matured-bond banner (approved; paid-out writes the ledger) · add/record ROUTER (findings 3+6; chips open the real editors with separate fields, Record gains bond/alt doors) · path-ahead row stays its own card + gains the how-ⓘ (nestEggMath) · "See your growth" KEPT as-is · staleness stamps in-hero, left-justified · sentence periods stay (founder call). Suite 1,319 green.</t>
        </is>
      </c>
      <c r="D18" t="inlineStr">
        <is>
          <t>Founder verdicts 2026-07-31 in chat</t>
        </is>
      </c>
      <c r="E18" t="inlineStr">
        <is>
          <t>Founder — APPROVED 2026-07-31</t>
        </is>
      </c>
    </row>
    <row r="19">
      <c r="A19" t="inlineStr">
        <is>
          <t>2026-07-31</t>
        </is>
      </c>
      <c r="B19" t="inlineStr">
        <is>
          <t>Home · app root · Invest sheets</t>
        </is>
      </c>
      <c r="C19" t="inlineStr">
        <is>
          <t>LOADING/OFFLINE DECIDED+BUILT: couldn't-refresh banner on Home (store-flagged, honest as-of, clears on success); the mock's grey-bar skeleton REJECTED by founder question and replaced by the root hydration hold (no screen renders before the store is ready — sub-second, kills the cold-start doors-flash). Router mock v2 delivered per founder revision (drawn from the shipping editors, separate fields).</t>
        </is>
      </c>
      <c r="D19" t="inlineStr">
        <is>
          <t>Founder verdicts 2026-07-31</t>
        </is>
      </c>
      <c r="E19" t="inlineStr">
        <is>
          <t>Founder — APPROVED 2026-07-31</t>
        </is>
      </c>
    </row>
    <row r="20">
      <c r="A20" t="inlineStr">
        <is>
          <t>2026-07-31</t>
        </is>
      </c>
      <c r="B20" t="inlineStr">
        <is>
          <t>Income (equity editor)</t>
        </is>
      </c>
      <c r="C20" t="inlineStr">
        <is>
          <t>B47 WALK FINDINGS 1-2 FIXED: equity editor gains the company stock symbol field (live price seeds new rows, editable; full re-marking joins the provider work) and a real bottom Done button (the top-bar link was invisible from a long form; "saves as you type" note).</t>
        </is>
      </c>
      <c r="D20" t="inlineStr">
        <is>
          <t>Founder Build-47 walk findings, 2026-07-31</t>
        </is>
      </c>
      <c r="E20" t="inlineStr">
        <is>
          <t>Founder findings — fixed same hour</t>
        </is>
      </c>
    </row>
    <row r="21">
      <c r="A21" t="inlineStr">
        <is>
          <t>2026-07-31</t>
        </is>
      </c>
      <c r="B21" t="inlineStr">
        <is>
          <t>Connected accounts (ingest)</t>
        </is>
      </c>
      <c r="C21" t="inlineStr">
        <is>
          <t>B47 FINDING 3 FIXED (Vanguard): balance authority rule gains the derive-from-holdings fallback when the broker reports no usable total (missing/zero) — marks + options + cash sleeve; USD-only (currency guard); empty stays zero; real totals still win. 3 new ingest pins.</t>
        </is>
      </c>
      <c r="D21" t="inlineStr">
        <is>
          <t>Founder Build-47 walk (second live institution)</t>
        </is>
      </c>
      <c r="E21" t="inlineStr">
        <is>
          <t>Founder finding — fixed same hour</t>
        </is>
      </c>
    </row>
    <row r="22">
      <c r="A22" t="inlineStr">
        <is>
          <t>2026-07-31</t>
        </is>
      </c>
      <c r="B22" t="inlineStr">
        <is>
          <t>Cash flow / Net worth — debts</t>
        </is>
      </c>
      <c r="C22" t="inlineStr">
        <is>
          <t>ONE debt editor shaped by repayment (installment: real payment ↔ paid-off-by; cards: min + you-pay; due in full: amount + date → dated big-ticket in cash flow + bill calendar). Replaces the two drifted debt forms.</t>
        </is>
      </c>
      <c r="D22" t="inlineStr">
        <is>
          <t>B47 walk finding 11: mortgage end year + actual payment were never asked; a loan due in full on a date was unrepresentable. Mock debt-editor-v1-2026-07-31 approved.</t>
        </is>
      </c>
      <c r="E22" t="inlineStr">
        <is>
          <t>Founder (chat, "approved.")</t>
        </is>
      </c>
    </row>
    <row r="23">
      <c r="A23" t="inlineStr">
        <is>
          <t>2026-07-31</t>
        </is>
      </c>
      <c r="B23" t="inlineStr">
        <is>
          <t>Retirement — Where you stand</t>
        </is>
      </c>
      <c r="C23" t="inlineStr">
        <is>
          <t>Coasting box copy: each state one sentence ("today's $X alone gets there by N" / "alone doesn't get there — even by 80"); "growing at %" wording</t>
        </is>
      </c>
      <c r="D23" t="inlineStr">
        <is>
          <t>B47 walk finding 13: the three stacked fragments contradicted each other</t>
        </is>
      </c>
      <c r="E23" t="inlineStr">
        <is>
          <t>Founder (device finding; fix per plain-English rule)</t>
        </is>
      </c>
    </row>
    <row r="24">
      <c r="A24" t="inlineStr">
        <is>
          <t>2026-08-01</t>
        </is>
      </c>
      <c r="B24" t="inlineStr">
        <is>
          <t>Invest — holding detail</t>
        </is>
      </c>
      <c r="C24" t="inlineStr">
        <is>
          <t>Full page rebuilt to mock v2: price hero + graph + period chips, position/compare/lots/dividends-realized/tax all in one table grammar; ✎ edit in header; unpriced = honest basis hero with 3-decimal averages</t>
        </is>
      </c>
      <c r="D24" t="inlineStr">
        <is>
          <t>B47 walk finding 6; mock holding-detail-full-v2-2026-07-31 approved</t>
        </is>
      </c>
      <c r="E24" t="inlineStr">
        <is>
          <t>Founder (chat, "holding screen - approved.")</t>
        </is>
      </c>
    </row>
    <row r="25">
      <c r="A25" t="inlineStr">
        <is>
          <t>2026-08-01</t>
        </is>
      </c>
      <c r="B25" t="inlineStr">
        <is>
          <t>Net worth — By type view</t>
        </is>
      </c>
      <c r="C25" t="inlineStr">
        <is>
          <t>All cash-bucket account types merge under one group header "Cash and cash equivalents" (was per-type headers, e.g. "Savings" covering CD + money market + cash)</t>
        </is>
      </c>
      <c r="D25" t="inlineStr">
        <is>
          <t>B47 walk finding 14: founder — call it what it is</t>
        </is>
      </c>
      <c r="E25" t="inlineStr">
        <is>
          <t>Founder (chat)</t>
        </is>
      </c>
    </row>
    <row r="26">
      <c r="A26" t="inlineStr">
        <is>
          <t>2026-08-01</t>
        </is>
      </c>
      <c r="B26" t="inlineStr">
        <is>
          <t>Plan hub (redesign in review)</t>
        </is>
      </c>
      <c r="C26" t="inlineStr">
        <is>
          <t>Decision-row grammar: every row a complete first-person question — When can I retire? / Can I afford it? (founder dropped "all") / When should I claim Social Security? / Which account do I draw from first? / Is a Roth move worth it? / Can I spend more?</t>
        </is>
      </c>
      <c r="D26" t="inlineStr">
        <is>
          <t>Founder verdict on mock v8 research round ("like it"); NN/g 65+ readability + industry best practice</t>
        </is>
      </c>
      <c r="E26" t="inlineStr">
        <is>
          <t>Founder (chat)</t>
        </is>
      </c>
    </row>
    <row r="27">
      <c r="A27" t="inlineStr">
        <is>
          <t>2026-08-01</t>
        </is>
      </c>
      <c r="B27" t="inlineStr">
        <is>
          <t>Plan hub</t>
        </is>
      </c>
      <c r="C27" t="inlineStr">
        <is>
          <t>FULL REDESIGN BUILT to mock v9 (founder: "all mock up approved"): spectrum gauge verdicts w/ if-clause per lens, ONE dated next-decision card (required withdrawal &gt; SS window), retiree paycheck card = Home engine, dynamic first-day door counting only missing answers + crediting accounts, question-grammar rows ranked by mind-order, honest locks, fenced sandbox</t>
        </is>
      </c>
      <c r="D27" t="inlineStr">
        <is>
          <t>Plan-tab redesign round, mocks v1→v9</t>
        </is>
      </c>
      <c r="E27" t="inlineStr">
        <is>
          <t>Founder (chat)</t>
        </is>
      </c>
    </row>
    <row r="28">
      <c r="A28" t="inlineStr">
        <is>
          <t>2026-08-01</t>
        </is>
      </c>
      <c r="B28" t="inlineStr">
        <is>
          <t>Plan hub</t>
        </is>
      </c>
      <c r="C28" t="inlineStr">
        <is>
          <t>"What big costs are coming?" feature APPROVED; capture screen mocked (big-costs-v1) — builds on its approval; hub row lands with it</t>
        </is>
      </c>
      <c r="D28" t="inlineStr">
        <is>
          <t>One-time future costs invisible to the long-range odds today</t>
        </is>
      </c>
      <c r="E28" t="inlineStr">
        <is>
          <t>Founder (chat)</t>
        </is>
      </c>
    </row>
    <row r="29">
      <c r="A29" t="inlineStr">
        <is>
          <t>2026-08-02</t>
        </is>
      </c>
      <c r="B29" t="inlineStr">
        <is>
          <t>Screen inventory</t>
        </is>
      </c>
      <c r="C29" t="inlineStr">
        <is>
          <t>Orphan/legacy screens (income-detail, old income/invest/savings, Tips, Rewards) KEPT — reusable when building for other age groups; menu unchanged</t>
        </is>
      </c>
      <c r="D29" t="inlineStr">
        <is>
          <t>Founder decision on the primary-flows document</t>
        </is>
      </c>
      <c r="E29" t="inlineStr">
        <is>
          <t>Founder (chat)</t>
        </is>
      </c>
    </row>
    <row r="30">
      <c r="A30" t="inlineStr">
        <is>
          <t>2026-08-02</t>
        </is>
      </c>
      <c r="B30" t="inlineStr">
        <is>
          <t>Plan / big costs</t>
        </is>
      </c>
      <c r="C30" t="inlineStr">
        <is>
          <t>big-costs-v1 capture mock APPROVED — capture + simulation + hub row build into 48</t>
        </is>
      </c>
      <c r="D30" t="inlineStr">
        <is>
          <t>Pre-48 decision round</t>
        </is>
      </c>
      <c r="E30" t="inlineStr">
        <is>
          <t>Founder (decision round)</t>
        </is>
      </c>
    </row>
    <row r="31">
      <c r="A31" t="inlineStr">
        <is>
          <t>2026-08-02</t>
        </is>
      </c>
      <c r="B31" t="inlineStr">
        <is>
          <t>All adoption surfaces</t>
        </is>
      </c>
      <c r="C31" t="inlineStr">
        <is>
          <t>ONE adopt verb: "Use as my plan" everywhere (sweep same day)</t>
        </is>
      </c>
      <c r="D31" t="inlineStr">
        <is>
          <t>Pre-48 decision round</t>
        </is>
      </c>
      <c r="E31" t="inlineStr">
        <is>
          <t>Founder (decision round)</t>
        </is>
      </c>
    </row>
    <row r="32">
      <c r="A32" t="inlineStr">
        <is>
          <t>2026-08-02</t>
        </is>
      </c>
      <c r="B32" t="inlineStr">
        <is>
          <t>Invest / holding detail</t>
        </is>
      </c>
      <c r="C32" t="inlineStr">
        <is>
          <t>Look-back card KEPT on the holding page (mock omission was a drawing gap)</t>
        </is>
      </c>
      <c r="D32" t="inlineStr">
        <is>
          <t>Pre-48 decision round</t>
        </is>
      </c>
      <c r="E32" t="inlineStr">
        <is>
          <t>Founder (decision round)</t>
        </is>
      </c>
    </row>
    <row r="33">
      <c r="A33" t="inlineStr">
        <is>
          <t>2026-08-02</t>
        </is>
      </c>
      <c r="B33" t="inlineStr">
        <is>
          <t>Plan / Social Security</t>
        </is>
      </c>
      <c r="C33" t="inlineStr">
        <is>
          <t>"Remind me" at the claim window BUILDS into 48 (existing notification scaffolding)</t>
        </is>
      </c>
      <c r="D33" t="inlineStr">
        <is>
          <t>Pre-48 decision round</t>
        </is>
      </c>
      <c r="E33" t="inlineStr">
        <is>
          <t>Founder (decision round)</t>
        </is>
      </c>
    </row>
    <row r="34">
      <c r="A34" t="inlineStr">
        <is>
          <t>2026-08-02</t>
        </is>
      </c>
      <c r="B34" t="inlineStr">
        <is>
          <t>Stress test · Insights · Tips</t>
        </is>
      </c>
      <c r="C34" t="inlineStr">
        <is>
          <t>Advice voice SOFTENED to fact-plus-choice on all three ("set this as a goal" class removed)</t>
        </is>
      </c>
      <c r="D34" t="inlineStr">
        <is>
          <t>Pre-48 decision round</t>
        </is>
      </c>
      <c r="E34" t="inlineStr">
        <is>
          <t>Founder (decision round)</t>
        </is>
      </c>
    </row>
    <row r="35">
      <c r="A35" t="inlineStr">
        <is>
          <t>2026-08-02</t>
        </is>
      </c>
      <c r="B35" t="inlineStr">
        <is>
          <t>Menu (TopBar)</t>
        </is>
      </c>
      <c r="C35" t="inlineStr">
        <is>
          <t>Rewards, Tips, Build-credit tiles LEAVE the 55-70 menu; College planner + Estate stay; screens all kept in code</t>
        </is>
      </c>
      <c r="D35" t="inlineStr">
        <is>
          <t>Pre-48 decision round</t>
        </is>
      </c>
      <c r="E35" t="inlineStr">
        <is>
          <t>Founder (decision round)</t>
        </is>
      </c>
    </row>
    <row r="36">
      <c r="A36" t="inlineStr">
        <is>
          <t>2026-08-02</t>
        </is>
      </c>
      <c r="B36" t="inlineStr">
        <is>
          <t>Insights · Cash flow</t>
        </is>
      </c>
      <c r="C36" t="inlineStr">
        <is>
          <t>Goal-offtrack insight + "Add something else" link BUILD into 48; Invest return-breakdown goes MOCK-FIRST (next batch)</t>
        </is>
      </c>
      <c r="D36" t="inlineStr">
        <is>
          <t>Pre-48 decision round</t>
        </is>
      </c>
      <c r="E36" t="inlineStr">
        <is>
          <t>Founder (decision round)</t>
        </is>
      </c>
    </row>
    <row r="37">
      <c r="A37" t="inlineStr">
        <is>
          <t>2026-08-02</t>
        </is>
      </c>
      <c r="B37" t="inlineStr">
        <is>
          <t>SS · multi-goal · Roth</t>
        </is>
      </c>
      <c r="C37" t="inlineStr">
        <is>
          <t>STEPPERS stay (65+ precision); design sheet slider rows to be refreshed to match</t>
        </is>
      </c>
      <c r="D37" t="inlineStr">
        <is>
          <t>Pre-48 decision round</t>
        </is>
      </c>
      <c r="E37" t="inlineStr">
        <is>
          <t>Founder (decision round)</t>
        </is>
      </c>
    </row>
    <row r="38">
      <c r="A38" t="inlineStr">
        <is>
          <t>2026-08-02</t>
        </is>
      </c>
      <c r="B38" t="inlineStr">
        <is>
          <t>Paycheck card</t>
        </is>
      </c>
      <c r="C38" t="inlineStr">
        <is>
          <t>4%-guideline heads-up REWORDED to own-math framing ("above what your own numbers support long-term")</t>
        </is>
      </c>
      <c r="D38" t="inlineStr">
        <is>
          <t>Pre-48 decision round</t>
        </is>
      </c>
      <c r="E38" t="inlineStr">
        <is>
          <t>Founder (decision round)</t>
        </is>
      </c>
    </row>
    <row r="39">
      <c r="A39" t="inlineStr">
        <is>
          <t>2026-08-02</t>
        </is>
      </c>
      <c r="B39" t="inlineStr">
        <is>
          <t>Connect flow (F1)</t>
        </is>
      </c>
      <c r="C39" t="inlineStr">
        <is>
          <t>PROVIDER PIVOT: SnapTrade OUT (founder saw connected financials displayed in its dashboard — privacy call), Plaid IN for beta. Migration = next workstream AFTER Build 48 (seam absorbs it: Plaid link swap, Investments ingest mapping, consent copy, disconnect/heal). NEW design-first feature unlocked: credit-card transaction import (Transactions + Liabilities products). Founder accepts one-time reconnect cost at LLC/launch re-setup.</t>
        </is>
      </c>
      <c r="D39" t="inlineStr">
        <is>
          <t>Founder decision (checked SnapTrade dashboard)</t>
        </is>
      </c>
      <c r="E39" t="inlineStr">
        <is>
          <t>Founder (chat)</t>
        </is>
      </c>
    </row>
    <row r="40">
      <c r="A40" t="inlineStr">
        <is>
          <t>2026-08-02</t>
        </is>
      </c>
      <c r="B40" t="inlineStr">
        <is>
          <t>Connect flow (F1)</t>
        </is>
      </c>
      <c r="C40" t="inlineStr">
        <is>
          <t>Provider pivot ON HOLD — founder evaluating Plaid vs SnapTrade vs Teller directly; no code or stack changes meanwhile</t>
        </is>
      </c>
      <c r="D40" t="inlineStr">
        <is>
          <t>Founder redirect same day</t>
        </is>
      </c>
      <c r="E40" t="inlineStr">
        <is>
          <t>Founder (chat)</t>
        </is>
      </c>
    </row>
    <row r="41">
      <c r="A41" t="inlineStr">
        <is>
          <t>2026-08-02</t>
        </is>
      </c>
      <c r="B41" t="inlineStr">
        <is>
          <t>Home (retroactive to 2026-07-16)</t>
        </is>
      </c>
      <c r="C41" t="inlineStr">
        <is>
          <t>+Expense floating button removed from Home — logging lives on Cash flow only (founder UX review 7/16; predates this changelog's start)</t>
        </is>
      </c>
      <c r="D41" t="inlineStr">
        <is>
          <t>Pre-48 audit B3: decision was never logged</t>
        </is>
      </c>
      <c r="E41" t="inlineStr">
        <is>
          <t>Founder (7/16 review)</t>
        </is>
      </c>
    </row>
    <row r="42">
      <c r="A42" t="inlineStr">
        <is>
          <t>2026-08-02</t>
        </is>
      </c>
      <c r="B42" t="inlineStr">
        <is>
          <t>Home</t>
        </is>
      </c>
      <c r="C42" t="inlineStr">
        <is>
          <t>Section heading is "CHIEF OF STAFF — WHAT NEEDS YOU (n)" (founder 7/15 design round)</t>
        </is>
      </c>
      <c r="D42" t="inlineStr">
        <is>
          <t>Pre-48 audit B4: sheet row said the pre-round wording</t>
        </is>
      </c>
      <c r="E42" t="inlineStr">
        <is>
          <t>Founder (7/15 round)</t>
        </is>
      </c>
    </row>
    <row r="43">
      <c r="A43" t="inlineStr">
        <is>
          <t>2026-08-02</t>
        </is>
      </c>
      <c r="B43" t="inlineStr">
        <is>
          <t>Plan · Invest · Cash flow · Net worth sheets</t>
        </is>
      </c>
      <c r="C43" t="inlineStr">
        <is>
          <t>SHEET REFRESH NOTE: hub rows superseded by mock v9; holding detail by holding-detail-full-v2; debt capture by debt-editor-v1; Cash-flow income by the one Add chooser; Net worth by-type by Cash-and-cash-equivalents. The changelog rows above are the current truth for these elements.</t>
        </is>
      </c>
      <c r="D43" t="inlineStr">
        <is>
          <t>Pre-48 audit B4</t>
        </is>
      </c>
      <c r="E43" t="inlineStr">
        <is>
          <t>Recorded by audit</t>
        </is>
      </c>
    </row>
    <row r="44">
      <c r="A44" t="inlineStr">
        <is>
          <t>2026-08-03</t>
        </is>
      </c>
      <c r="B44" t="inlineStr">
        <is>
          <t>Invest</t>
        </is>
      </c>
      <c r="C44" t="inlineStr">
        <is>
          <t>Return breakdown BUILT to approved mock (Price change · Realized · Dividends · Interest under the period total; sparse-honest; ledger-only)</t>
        </is>
      </c>
      <c r="D44" t="inlineStr">
        <is>
          <t>Design r16; founder "return breakdown - approved"</t>
        </is>
      </c>
      <c r="E44" t="inlineStr">
        <is>
          <t>Founder (chat)</t>
        </is>
      </c>
    </row>
    <row r="45">
      <c r="A45" t="inlineStr">
        <is>
          <t>2026-08-03</t>
        </is>
      </c>
      <c r="B45" t="inlineStr">
        <is>
          <t>First-run setup</t>
        </is>
      </c>
      <c r="C45" t="inlineStr">
        <is>
          <t>First bullet: "Everything you own and owe, in one place — accounts (investment, 401k, checking, savings), your home and other property, debts — one live view." (was "Map your whole money picture")</t>
        </is>
      </c>
      <c r="D45" t="inlineStr">
        <is>
          <t>B48 walk finding 1 + founder second thought; matches the Net worth screen's Own − Owe language</t>
        </is>
      </c>
      <c r="E45" t="inlineStr">
        <is>
          <t>Founder (decision round)</t>
        </is>
      </c>
    </row>
    <row r="46">
      <c r="A46" t="inlineStr">
        <is>
          <t>2026-08-03</t>
        </is>
      </c>
      <c r="B46" t="inlineStr">
        <is>
          <t>First-run setup</t>
        </is>
      </c>
      <c r="C46" t="inlineStr">
        <is>
          <t>First bullet FINAL: "All your assets and debts in one place" (founder's own wording, superseding the same-day own-and-owe pick)</t>
        </is>
      </c>
      <c r="D46" t="inlineStr">
        <is>
          <t>B48 walk finding 1, round 3</t>
        </is>
      </c>
      <c r="E46" t="inlineStr">
        <is>
          <t>Founder (chat)</t>
        </is>
      </c>
    </row>
    <row r="47">
      <c r="A47" t="inlineStr">
        <is>
          <t>2026-08-03</t>
        </is>
      </c>
      <c r="B47" t="inlineStr">
        <is>
          <t>First-run setup</t>
        </is>
      </c>
      <c r="C47" t="inlineStr">
        <is>
          <t>First bullet CLOSED: "All your assets and debts in one place — accounts (investment, 401k, checking, savings), your home and other property, and every debt (mortgage, cards, loans) — one live view."</t>
        </is>
      </c>
      <c r="D47" t="inlineStr">
        <is>
          <t>B48 finding 1 final round — complete-inventory principle + parallel examples</t>
        </is>
      </c>
      <c r="E47" t="inlineStr">
        <is>
          <t>Founder ("love it")</t>
        </is>
      </c>
    </row>
    <row r="48">
      <c r="A48" t="inlineStr">
        <is>
          <t>2026-08-04</t>
        </is>
      </c>
      <c r="B48" t="inlineStr">
        <is>
          <t>Alternatives capture</t>
        </is>
      </c>
      <c r="C48" t="inlineStr">
        <is>
          <t>Private equity + Hedge funds OUT of phase 1 (founder: keep it simple) — capture chips trimmed on both editors; data model keeps the kinds so anything saved still renders</t>
        </is>
      </c>
      <c r="D48" t="inlineStr">
        <is>
          <t>Founder decision</t>
        </is>
      </c>
      <c r="E48" t="inlineStr">
        <is>
          <t>Founder (chat)</t>
        </is>
      </c>
    </row>
    <row r="49">
      <c r="A49" t="inlineStr">
        <is>
          <t>2026-08-04</t>
        </is>
      </c>
      <c r="B49" t="inlineStr">
        <is>
          <t>Navigation (all surfaces)</t>
        </is>
      </c>
      <c r="C49" t="inlineStr">
        <is>
          <t>The Invest tab is renamed PERFORMANCE (founder pick: Net worth · Performance) — one TAB_META change sweeps the bottom bar, menu strip, and desktop sidebar; tab-name copy swept on 3 screens. Route keys unchanged.</t>
        </is>
      </c>
      <c r="D49" t="inlineStr">
        <is>
          <t>Two tabs kept; names now say what-I-have vs how-it's-doing</t>
        </is>
      </c>
      <c r="E49" t="inlineStr">
        <is>
          <t>Founder (decision)</t>
        </is>
      </c>
    </row>
    <row r="50">
      <c r="A50" t="inlineStr">
        <is>
          <t>2026-08-04</t>
        </is>
      </c>
      <c r="B50" t="inlineStr">
        <is>
          <t>Net worth</t>
        </is>
      </c>
      <c r="C50" t="inlineStr">
        <is>
          <t>BY TYPE view REMOVED (founder — resolves the open By-type question); WHAT YOU OWN restructures to the three uber-categories (Cash / Investments / Personal property) with classes as rows inside; two grouping pills remain: By category · By institution. Investments total = Performance total by definition (sweep cash under Cash).</t>
        </is>
      </c>
      <c r="D50" t="inlineStr">
        <is>
          <t>Pair-mock rounds v2-v6</t>
        </is>
      </c>
      <c r="E50" t="inlineStr">
        <is>
          <t>Founder (chat)</t>
        </is>
      </c>
    </row>
    <row r="51">
      <c r="A51" t="inlineStr">
        <is>
          <t>2026-08-04</t>
        </is>
      </c>
      <c r="B51" t="inlineStr">
        <is>
          <t>Net worth</t>
        </is>
      </c>
      <c r="C51" t="inlineStr">
        <is>
          <t>"Your path ahead (from your Plan)" renamed "Your retirement plan" (founder wording)</t>
        </is>
      </c>
      <c r="D51" t="inlineStr">
        <is>
          <t>Pair-mock round v7</t>
        </is>
      </c>
      <c r="E51" t="inlineStr">
        <is>
          <t>Founder (chat)</t>
        </is>
      </c>
    </row>
    <row r="52">
      <c r="A52" t="inlineStr">
        <is>
          <t>2026-08-04</t>
        </is>
      </c>
      <c r="B52" t="inlineStr">
        <is>
          <t>Plan (hub) + Net worth</t>
        </is>
      </c>
      <c r="C52" t="inlineStr">
        <is>
          <t>Retirement verdict wording: working = "Likely — retire at {65} with ~{pot at retirement}, lasting past {92} with ~{leftover} to spare"; retired = "Holding — on course to last past {92}, ~{leftover} to spare". Sentence only shown at 80%+ chance; numbers = median of the same simulation the odds use (never re-derived). Replaces "on course for ~$890,000 by 92".</t>
        </is>
      </c>
      <c r="D52" t="inlineStr">
        <is>
          <t>Founder read "by 92" as "working till 92" — ambiguous; workers act on the retirement-day pot first, survival second. 92 = plan-to age, 65 = retirement age: both dials now named in the sentence.</t>
        </is>
      </c>
      <c r="E52" t="inlineStr">
        <is>
          <t>Founder ("approve these words", chat 2026-08-04)</t>
        </is>
      </c>
    </row>
    <row r="53">
      <c r="A53" t="inlineStr">
        <is>
          <t>2026-08-04</t>
        </is>
      </c>
      <c r="B53" t="inlineStr">
        <is>
          <t>Net worth (all screens)</t>
        </is>
      </c>
      <c r="C53" t="inlineStr">
        <is>
          <t>BANDED SECTIONS ADOPTED: deep-green title bands (white caps) + light-green group sub-bands, per pair mock v18 ("I like this") — founder ordered the pattern applied to ALL screens; UX doc bumped to v1.2 with tokens #085041 / #DFF2E9.</t>
        </is>
      </c>
      <c r="D53" t="inlineStr">
        <is>
          <t>Wayfinding for 55-70 eyes; contrast-safe band colors.</t>
        </is>
      </c>
      <c r="E53" t="inlineStr">
        <is>
          <t>Founder (chat 2026-08-04)</t>
        </is>
      </c>
    </row>
    <row r="54">
      <c r="A54" t="inlineStr">
        <is>
          <t>2026-08-04</t>
        </is>
      </c>
      <c r="B54" t="inlineStr">
        <is>
          <t>Net worth / Performance / engines</t>
        </is>
      </c>
      <c r="C54" t="inlineStr">
        <is>
          <t>CLASSIFICATION RULE: cash = cash only. Money-market funds → Stocks/ETFs; CDs/T-bills → Bonds &amp; CDs (any maturity). Supersedes money-market=cash and the build-34 #8 12-month CD split. Built same day across sync/import/capture/kind-map/glossary; CD interest = balance × stated rate.</t>
        </is>
      </c>
      <c r="D54" t="inlineStr">
        <is>
          <t>Dividend/interest payers must sit inside the measured buckets or change/ROI math silently loses their income.</t>
        </is>
      </c>
      <c r="E54" t="inlineStr">
        <is>
          <t>Founder (chat 2026-08-04)</t>
        </is>
      </c>
    </row>
    <row r="55">
      <c r="A55" t="inlineStr">
        <is>
          <t>2026-08-04</t>
        </is>
      </c>
      <c r="B55" t="inlineStr">
        <is>
          <t>Net worth</t>
        </is>
      </c>
      <c r="C55" t="inlineStr">
        <is>
          <t>Pair mock v19 refinements: collapsed counts on a quiet 2nd line; ≥16px air before number columns; donut labels one weight.</t>
        </is>
      </c>
      <c r="D55" t="inlineStr">
        <is>
          <t>Founder walk feedback on v18.</t>
        </is>
      </c>
      <c r="E55" t="inlineStr">
        <is>
          <t>Founder (chat 2026-08-04)</t>
        </is>
      </c>
    </row>
    <row r="56">
      <c r="A56" t="inlineStr">
        <is>
          <t>2026-08-04</t>
        </is>
      </c>
      <c r="B56" t="inlineStr">
        <is>
          <t>All five tabs</t>
        </is>
      </c>
      <c r="C56" t="inlineStr">
        <is>
          <t>Banded sections BUILT on the five tab screens (Home 4 · Plan 6 · Net worth 5 · Performance 3 · Cash flow 6 bands) via the ONE SectionBand component; totals ride the bands; capture-surface sections use the light sub-band. Detail screens (~25) queued next.</t>
        </is>
      </c>
      <c r="D56" t="inlineStr">
        <is>
          <t>Founder order: apply the adopted band pattern to all screens.</t>
        </is>
      </c>
      <c r="E56" t="inlineStr">
        <is>
          <t>Founder (chat 2026-08-04)</t>
        </is>
      </c>
    </row>
    <row r="57">
      <c r="A57" t="inlineStr">
        <is>
          <t>2026-08-04</t>
        </is>
      </c>
      <c r="B57" t="inlineStr">
        <is>
          <t>Net worth</t>
        </is>
      </c>
      <c r="C57" t="inlineStr">
        <is>
          <t>NW change PERCENT re-based onto cash + investments (denominator named on the line: "+0.5% on cash + investments"); dollar change stays full NW. Store now captures a daily cash+investments point (invDaily) beside the nw point; percent shows only once that history exists — never back-guessed. Helper investableChangePct pinned (8 tests) + 2 screen pins.</t>
        </is>
      </c>
      <c r="D57" t="inlineStr">
        <is>
          <t>Founder: "calculating NW % on total is not meaningful — property increments are hand-captured." Percent must measure money that actually moves daily.</t>
        </is>
      </c>
      <c r="E57" t="inlineStr">
        <is>
          <t>Founder (chat 2026-08-04)</t>
        </is>
      </c>
    </row>
    <row r="58">
      <c r="A58" t="inlineStr">
        <is>
          <t>2026-08-04</t>
        </is>
      </c>
      <c r="B58" t="inlineStr">
        <is>
          <t>All screens (rule)</t>
        </is>
      </c>
      <c r="C58" t="inlineStr">
        <is>
          <t>EMPTY-STATE RULE adopted: full layout with $0 values + the add door; retirement first-view = the ONE Home sample app-wide. NW final mock bumped to v2 (State C redrawn to the rule).</t>
        </is>
      </c>
      <c r="D58" t="inlineStr">
        <is>
          <t>Founder: "when we don't have data, still show a layout meaningful enough to move forward; don't re-invent and be inconsistent."</t>
        </is>
      </c>
      <c r="E58" t="inlineStr">
        <is>
          <t>Founder (chat 2026-08-04)</t>
        </is>
      </c>
    </row>
    <row r="59">
      <c r="A59" t="inlineStr">
        <is>
          <t>2026-08-04</t>
        </is>
      </c>
      <c r="B59" t="inlineStr">
        <is>
          <t>Net worth + Performance</t>
        </is>
      </c>
      <c r="C59" t="inlineStr">
        <is>
          <t>Value-walk structure APPROVED for both walks: Beginning value → ＋Contributions → −Withdrawals → WEALTH GENERATED (light sub-band; rows: Dividends · Interest · Change in investment value) → Ending value. Founder-confirmed calls: NW sheet says "net worth" (home+debts have no market feed) and carries the extra "＋ Debt principal you paid" line so the walk always sums; Performance uses the exact "market value" labels. Mocks: networth-final-v6 (sheet) + performance-final-v2 (walk card).</t>
        </is>
      </c>
      <c r="D59" t="inlineStr">
        <is>
          <t>One walk grammar everywhere; rows must sum exactly to the ending value.</t>
        </is>
      </c>
      <c r="E59" t="inlineStr">
        <is>
          <t>Founder ("agree with both", chat 2026-08-04)</t>
        </is>
      </c>
    </row>
    <row r="60">
      <c r="A60" t="inlineStr">
        <is>
          <t>2026-08-04</t>
        </is>
      </c>
      <c r="B60" t="inlineStr">
        <is>
          <t>Income · Net worth · Performance</t>
        </is>
      </c>
      <c r="C60" t="inlineStr">
        <is>
          <t>FIFTH INGREDIENT CHECK built: each connected/imported account records how far back its source's activity feed reaches (history_from, recorded at ingest from the rows' own dates; depth only ever deepens). historyCoverage() turns a shortfall into one plain sentence ("E*TRADE shared 3 months of history (from May 4, 2026) — figures before that aren't counted"); silent when fully covered. Wired to the Income screen's 12-month investment-income figure; joins the four existing banner triggers. Also confirms the window rule: walk/return figures count ONLY rows dated inside the window (pre-join back-fill never leaks in), while income counts any dated receipt the broker vouches for.</t>
        </is>
      </c>
      <c r="D60" t="inlineStr">
        <is>
          <t>Founder: brokers back-fill different depths, so a "past year" income figure can silently understate. Returns start when we start watching; income counts dated receipts.</t>
        </is>
      </c>
      <c r="E60" t="inlineStr">
        <is>
          <t>Founder ("makes sense. Let's do it.", chat 2026-08-04)</t>
        </is>
      </c>
    </row>
    <row r="61">
      <c r="A61" t="inlineStr">
        <is>
          <t>2026-08-04</t>
        </is>
      </c>
      <c r="B61" t="inlineStr">
        <is>
          <t>Net worth (change sheet + banner)</t>
        </is>
      </c>
      <c r="C61" t="inlineStr">
        <is>
          <t>Scoping rule for the depth sentence: it appears ONLY where the figure's window predates the source's shared history (12-month income yes; a 1-day change line no) — otherwise it implies older income sits inside the change number. Pinned. Walk sheet: all numbers share one right edge (WEALTH GENERATED total included); ＋ signs dropped, − kept. Mock networth-final-v8.</t>
        </is>
      </c>
      <c r="D61" t="inlineStr">
        <is>
          <t>Founder: the history line "should only appear if the since-date is older than the shared history — otherwise the user thinks older dividends are added to the change number."</t>
        </is>
      </c>
      <c r="E61" t="inlineStr">
        <is>
          <t>Founder (chat 2026-08-04)</t>
        </is>
      </c>
    </row>
    <row r="62">
      <c r="A62" t="inlineStr">
        <is>
          <t>2026-08-04</t>
        </is>
      </c>
      <c r="B62" t="inlineStr">
        <is>
          <t>All screens</t>
        </is>
      </c>
      <c r="C62" t="inlineStr">
        <is>
          <t>CONSISTENCY SWEEP: every fontSize snapped to the ONE design scale (11/13/15/17/20/24/30/38 — ties rounded UP for 55-70 readability): 622 values across 70 files. Hardcoded white/#F5F5F5 replaced with theme tokens in 42 files. Two guard tests added so drift cannot return.</t>
        </is>
      </c>
      <c r="D62" t="inlineStr">
        <is>
          <t>Founder: "make sure font size and color and overall design are same across all screens."</t>
        </is>
      </c>
      <c r="E62" t="inlineStr">
        <is>
          <t>Founder (chat 2026-08-04)</t>
        </is>
      </c>
    </row>
    <row r="63">
      <c r="A63" t="inlineStr">
        <is>
          <t>2026-08-04</t>
        </is>
      </c>
      <c r="B63" t="inlineStr">
        <is>
          <t>Net worth</t>
        </is>
      </c>
      <c r="C63" t="inlineStr">
        <is>
          <t>FINAL design BUILT (part 1): three uber-groups (Cash · Investments · Personal property) as collapsible light-green bars carrying totals, with asset classes as rows inside; class donut returned to the screen (validated palette, direct-labeled legend, 44pt targets, masks with hide-balances); Own − Owe moved ABOVE the hero and the duplicate bottom math line removed; pills trimmed to two (By category · By institution — By type removed). Finding-14 cash-merge rule re-pinned on the class view.</t>
        </is>
      </c>
      <c r="D63" t="inlineStr">
        <is>
          <t>Founder: "build all the approved NW".</t>
        </is>
      </c>
      <c r="E63" t="inlineStr">
        <is>
          <t>Founder (chat 2026-08-04)</t>
        </is>
      </c>
    </row>
    <row r="64">
      <c r="A64" t="inlineStr">
        <is>
          <t>2026-08-04</t>
        </is>
      </c>
      <c r="B64" t="inlineStr">
        <is>
          <t>Net worth (+ engine)</t>
        </is>
      </c>
      <c r="C64" t="inlineStr">
        <is>
          <t>MISSING-DATA BANNER + FIX-IT SHEET BUILT: new dataGaps engine (5 checks — unpriced holding · stale connection · no dividend records · stale hand-entered value · shared-history depth) feeding an INLINE banner (never a pop-up) that counts and names each gap; tapping opens the sheet where each row states what is missing, what we do meanwhile, and a button landing on the exact cure. Renders nothing when data is complete. 7 engine pins + 1 screen pin.</t>
        </is>
      </c>
      <c r="D64" t="inlineStr">
        <is>
          <t>Founder disclaimer rule: say nothing when complete; speak only when a promised number is missing an input.</t>
        </is>
      </c>
      <c r="E64" t="inlineStr">
        <is>
          <t>Founder (chat 2026-08-04)</t>
        </is>
      </c>
    </row>
    <row r="65">
      <c r="A65" t="inlineStr">
        <is>
          <t>2026-08-04</t>
        </is>
      </c>
      <c r="B65" t="inlineStr">
        <is>
          <t>Net worth (change tap)</t>
        </is>
      </c>
      <c r="C65" t="inlineStr">
        <is>
          <t>CHANGE WALK SHEET BUILT (final mock State E): tapping the change opens the walk in the approved structure — Beginning net worth → Contributions → Withdrawals → Wealth generated (Dividends · Interest · Change in investment value) → Debt principal you paid → Ending net worth. buildChangeWalk engine makes the rows sum to the ending value by construction (residual lands in change-in-value, never dropped). 3 engine pins + 1 screen pin. NET-WORTH FINAL IS NOW COMPLETE: 6 of 6 approved elements built.</t>
        </is>
      </c>
      <c r="D65" t="inlineStr">
        <is>
          <t>Founder-approved walk structure + "design it exactly as the Performance walk card".</t>
        </is>
      </c>
      <c r="E65" t="inlineStr">
        <is>
          <t>Founder (chat 2026-08-04)</t>
        </is>
      </c>
    </row>
    <row r="66">
      <c r="A66" t="inlineStr">
        <is>
          <t>2026-08-04</t>
        </is>
      </c>
      <c r="B66" t="inlineStr">
        <is>
          <t>Performance</t>
        </is>
      </c>
      <c r="C66" t="inlineStr">
        <is>
          <t>FINAL design part 1 BUILT: SUMMARY trio (ending value · wealth generated · return) with the plain window sentence ("for the window you picked — not a yearly rate; money you added never counts as return"); the VALUE WALK card in the approved order (beginning market value → contributions → withdrawals → wealth generated (dividends · interest · change in investment value) → ending market value), rows summing by construction via buildChangeWalk; missing-data banner below the summary. The old inline return-breakdown block was REMOVED — superseded by the walk (one concept, one place). One periodStartKey definition now feeds the walk, the ledger filter and the gap checks.</t>
        </is>
      </c>
      <c r="D66" t="inlineStr">
        <is>
          <t>Founder final Performance spec + banner-below-summary instruction.</t>
        </is>
      </c>
      <c r="E66" t="inlineStr">
        <is>
          <t>Founder (chat 2026-08-04)</t>
        </is>
      </c>
    </row>
    <row r="67">
      <c r="A67" t="inlineStr">
        <is>
          <t>2026-08-04</t>
        </is>
      </c>
      <c r="B67" t="inlineStr">
        <is>
          <t>Performance + Account page</t>
        </is>
      </c>
      <c r="C67" t="inlineStr">
        <is>
          <t>FINAL design part 2 BUILT: period chips carry their OWN window return (em-dash when a window has no data, row wraps to two lines); category-earnings table (CATEGORY | EARNED | RETURN, ledger-only, absent entirely when nothing was received). ACCOUNT PAGE restructured to the final mock: holdings grouped under their CLASS on the light-green sub-band ("BY CATEGORY &amp; HOLDING"), each holding carrying its own income line beneath it (income belongs to the holding that earned it), and every kind of record has a door — money in/out, income received, buy/sale — tightened per class (property keeps none; cash gains an interest door it never had).</t>
        </is>
      </c>
      <c r="D67" t="inlineStr">
        <is>
          <t>Founder final Performance spec incl. "income below individual asset", "class sub-bands", "missing button to add sales/buy transaction".</t>
        </is>
      </c>
      <c r="E67" t="inlineStr">
        <is>
          <t>Founder (chat 2026-08-04)</t>
        </is>
      </c>
    </row>
    <row r="68">
      <c r="A68" t="inlineStr">
        <is>
          <t>2026-08-10</t>
        </is>
      </c>
      <c r="B68" t="inlineStr">
        <is>
          <t>Performance + NW family</t>
        </is>
      </c>
      <c r="C68" t="inlineStr">
        <is>
          <t>PERFORMANCE COMPLETE: per-account collapsible walks added (same engine as the all-accounts walk; collapsed by default with a one-line wealth-generated summary, expanding to the full walk; hidden when only one account exists). NW-family sub-screens banded (Import holdings, Bonds &amp; CDs, Alternatives, SnapTrade connect). 7 of 7 Performance elements and 6 of 6 Net-worth elements now built.</t>
        </is>
      </c>
      <c r="D68" t="inlineStr">
        <is>
          <t>Founder: "complete fully building NW and perf section".</t>
        </is>
      </c>
      <c r="E68" t="inlineStr">
        <is>
          <t>Founder (chat 2026-08-10)</t>
        </is>
      </c>
    </row>
    <row r="69">
      <c r="A69" s="4" t="inlineStr">
        <is>
          <t>2026-08-10</t>
        </is>
      </c>
      <c r="B69" s="4" t="inlineStr">
        <is>
          <t>Net worth (hero)</t>
        </is>
      </c>
      <c r="C69" s="4" t="inlineStr">
        <is>
          <t>HERO CORRECTIONS BUILT to the founder's NW-screen notes: the band title carries ONLY the info dot (the date was removed from it and now lives once, on the since line); the trend sparkline under the hero is DELETED ("the green line at the bottom"); the change line is restructured and named on both halves — "Change in net worth +$2,110 · Return on cash + investments +0.5% ›" — green at zero and up, amber only on a fall (never red); the since line carries day and year in regular weight. The hero ends there.</t>
        </is>
      </c>
      <c r="D69" s="4" t="inlineStr">
        <is>
          <t>Founder notes document "NW Main Screen", 2026-08-10, items 1-5. Wording spelled out in full rather than "NW" per the no-initialisms rule.</t>
        </is>
      </c>
      <c r="E69" s="4" t="inlineStr">
        <is>
          <t>Founder (NW-screen.docx 2026-08-10)</t>
        </is>
      </c>
    </row>
    <row r="70">
      <c r="A70" s="4" t="inlineStr">
        <is>
          <t>2026-08-10</t>
        </is>
      </c>
      <c r="B70" s="4" t="inlineStr">
        <is>
          <t>Net worth (what you own / owe)</t>
        </is>
      </c>
      <c r="C70" s="4" t="inlineStr">
        <is>
          <t>THE FLAT LEDGER BUILT (Claude Design "Quiet Instrument" handoff, reconciled): the own/owe lists left their floating cards and became one continuous table. Bands bleed edge to edge and rows carry the same inset, and EVERY row — bands included — reserves one 16pt trailing arrow column, so every number on the screen resolves to ONE right edge (section totals, group totals, class totals, account amounts). SectionBand gained a `trailing` prop to carry that column. Grouping buttons moved to the left edge. This replaces the earlier nudge at founder gap 4 with a structural fix.</t>
        </is>
      </c>
      <c r="D70" s="4" t="inlineStr">
        <is>
          <t>Founder notes 2026-08-10 item 10 ("table format, all $ right justified, one line") + the handoff's flat-ledger direction.</t>
        </is>
      </c>
      <c r="E70" s="4" t="inlineStr">
        <is>
          <t>Founder (NW-screen.docx + Claude Design handoff 2026-08-10)</t>
        </is>
      </c>
    </row>
    <row r="71">
      <c r="A71" s="4" t="inlineStr">
        <is>
          <t>2026-08-10</t>
        </is>
      </c>
      <c r="B71" s="4" t="inlineStr">
        <is>
          <t>Net worth (donut)</t>
        </is>
      </c>
      <c r="C71" s="4" t="inlineStr">
        <is>
          <t>DONUT LABELS ON THE CHART: each slice big enough to name carries its name, its percentage and its colour swatch beside the ring, positioned at the slice's own angle; slices too small to label without collision are named on one line beneath rather than dropped. Validated colourblind-safe palette unchanged; colour is never the only signal.</t>
        </is>
      </c>
      <c r="D71" s="4" t="inlineStr">
        <is>
          <t>Founder notes 2026-08-10 item 11 ("put % and labels on donut, colours a blind person can read").</t>
        </is>
      </c>
      <c r="E71" s="4" t="inlineStr">
        <is>
          <t>Founder (NW-screen.docx 2026-08-10)</t>
        </is>
      </c>
    </row>
    <row r="72">
      <c r="A72" s="4" t="inlineStr">
        <is>
          <t>2026-08-10</t>
        </is>
      </c>
      <c r="B72" s="4" t="inlineStr">
        <is>
          <t>Net worth (by institution)</t>
        </is>
      </c>
      <c r="C72" s="4" t="inlineStr">
        <is>
          <t>BY INSTITUTION REBUILT to match By category: institution groups now collapse and expand, keep their own open/closed memory (closing Vanguard here does not close Investments over there), sort biggest first, and carry a closed-state account count. An institution's total is what it HOLDS — a debt at the same bank is never merged in or netted off; the Chase Visa stays under What you owe.</t>
        </is>
      </c>
      <c r="D72" s="4" t="inlineStr">
        <is>
          <t>Claude Design handoff navigation + grouping spec; the view previously had no collapse at all.</t>
        </is>
      </c>
      <c r="E72" s="4" t="inlineStr">
        <is>
          <t>Claude Design handoff 2026-08-10 (built; awaiting founder review)</t>
        </is>
      </c>
    </row>
    <row r="73">
      <c r="A73" s="4" t="inlineStr">
        <is>
          <t>2026-08-10</t>
        </is>
      </c>
      <c r="B73" s="4" t="inlineStr">
        <is>
          <t>Net worth + engines (defects)</t>
        </is>
      </c>
      <c r="C73" s="4" t="inlineStr">
        <is>
          <t>SIX DEFECTS FOUND AND FIXED during the rebuild audit: (1) two buttons pushed routes that do not exist — first-day "Connect a brokerage" (/connect-account) and the fix-it sheet's "Update the value" (/(tabs)/networth) — both bounced the user Home; a new guard walks every pushed route and fails on any that names no screen. (2) A connected account sending no holdings was dumped whole into Unclassified even when its type is known (same class as the CD-under-Cash finding) — it now keeps its own class. (3) The CASH group and the emergency cushion printed different cash numbers ($8,838 vs $8,000) because only one counted sweep cash — one source now. (4) "Connected · updated updated today" on every connected row, four places across three screens — fixed at the source. (5) A figure that could not be computed printed as a real-looking "$0" — now an em dash. (6) The audit harness fixture described debts with field names the app does not use, so every audited dump had $0 debts.</t>
        </is>
      </c>
      <c r="D73" s="4" t="inlineStr">
        <is>
          <t>Found by running the founder's own mock-match method against the rebuilt screen. Quality-first: fix the class, not the instance.</t>
        </is>
      </c>
      <c r="E73" s="4" t="inlineStr">
        <is>
          <t>Claude (found + fixed 2026-08-10; reported to founder)</t>
        </is>
      </c>
    </row>
    <row r="74">
      <c r="A74" s="4" t="inlineStr">
        <is>
          <t>2026-08-11</t>
        </is>
      </c>
      <c r="B74" s="4" t="inlineStr">
        <is>
          <t>Net worth (what you own / owe)</t>
        </is>
      </c>
      <c r="C74" s="4" t="inlineStr">
        <is>
          <t>COMPOSITION BAR REPLACES THE DONUT (founder decision, audit Q6: "add both. Bar replaces donut."). The class donut and its direct labels were removed; WHAT YOU OWN now carries one thin stacked bar with a wrapping legend naming every slice and its percent. WHAT YOU OWE gained the SAME bar in the warning colours, and the emergency cushion gained a progress bar filling against the 3-6 month guide its own note names. Percentages ALWAYS total 100 — the rounding remainder goes to the largest slice — and a slice too small to reach 1% still gets a visible mark and reads "&lt;1%" rather than vanishing. 7 arithmetic pins.</t>
        </is>
      </c>
      <c r="D74" s="4" t="inlineStr">
        <is>
          <t>Founder decision on the audit workbook. Supersedes note 11 of 2026-08-10 ("put % and labels on donut"), which was written before the bar was on the table.</t>
        </is>
      </c>
      <c r="E74" s="4" t="inlineStr">
        <is>
          <t>Founder (audit workbook, Open founder calls Q6)</t>
        </is>
      </c>
    </row>
    <row r="75">
      <c r="A75" s="4" t="inlineStr">
        <is>
          <t>2026-08-11</t>
        </is>
      </c>
      <c r="B75" s="4" t="inlineStr">
        <is>
          <t>Net worth (categories)</t>
        </is>
      </c>
      <c r="C75" s="4" t="inlineStr">
        <is>
          <t>CATEGORIES READ BIGGEST FIRST (founder decision, audit Q2) — in the composition bar AND in the list beneath it, so the picture and the rows tell the same story in the same order. Inside Investments that puts Stocks / ETFs $348,495 above Bonds &amp; CDs $5,819. THIS SUPERSEDES the pre-48 audit rule A7 ("order classes by LIQUIDITY, cash first"); the superseding note is written at the sort itself so the old rule is not re-applied by accident. The three uber-groups keep their fixed Cash → Investments → Personal property order.</t>
        </is>
      </c>
      <c r="D75" s="4" t="inlineStr">
        <is>
          <t>Founder decision on the audit workbook, chosen with the liquidity rule named as the alternative.</t>
        </is>
      </c>
      <c r="E75" s="4" t="inlineStr">
        <is>
          <t>Founder (audit workbook, Open founder calls Q2)</t>
        </is>
      </c>
    </row>
    <row r="76">
      <c r="A76" s="4" t="inlineStr">
        <is>
          <t>2026-08-11</t>
        </is>
      </c>
      <c r="B76" s="4" t="inlineStr">
        <is>
          <t>Net worth (below the cushion)</t>
        </is>
      </c>
      <c r="C76" s="4" t="inlineStr">
        <is>
          <t>THE "THIS MONTH'S CASH FLOW" ROW DELETED from Net worth (founder decision, audit Q3: "Keep add or connect an account. Delete cashflow."). The row and the code that computed it are gone. The one add-or-connect button stays — it is this screen's only way to add an account. The emergency cushion keeps its own door into Cash flow for the case where spending has not been captured yet.</t>
        </is>
      </c>
      <c r="D76" s="4" t="inlineStr">
        <is>
          <t>Founder decision. This screen answers what you own and owe; movement is the Cash flow tab's job and Home already carries the monthly glance.</t>
        </is>
      </c>
      <c r="E76" s="4" t="inlineStr">
        <is>
          <t>Founder (audit workbook, Open founder calls Q3)</t>
        </is>
      </c>
    </row>
    <row r="77">
      <c r="A77" s="4" t="inlineStr">
        <is>
          <t>2026-08-11</t>
        </is>
      </c>
      <c r="B77" s="4" t="inlineStr">
        <is>
          <t>Net worth (first day)</t>
        </is>
      </c>
      <c r="C77" s="4" t="inlineStr">
        <is>
          <t>GROUPING BUTTONS NOW SHOW ON THE FIRST-DAY SCREEN (founder decision, audit Q4: "it will give user view of what they can do in the app"). Both buttons render from the SAME control the full screen uses, so the two can never drift apart. By institution at zero says what it will hold ("Your banks and brokerages will be listed here, each with what it holds") rather than drawing three $0 banks that do not exist — the full layout stays without inventing data.</t>
        </is>
      </c>
      <c r="D77" s="4" t="inlineStr">
        <is>
          <t>Founder decision. Closes the one gap the round-1 audit found against approved State C.</t>
        </is>
      </c>
      <c r="E77" s="4" t="inlineStr">
        <is>
          <t>Founder (audit workbook, Open founder calls Q4)</t>
        </is>
      </c>
    </row>
    <row r="78">
      <c r="A78" s="4" t="inlineStr">
        <is>
          <t>2026-08-11</t>
        </is>
      </c>
      <c r="B78" s="4" t="inlineStr">
        <is>
          <t>Net worth (hero + cash row)</t>
        </is>
      </c>
      <c r="C78" s="4" t="inlineStr">
        <is>
          <t>TWO DECISIONS CONFIRMED WITH NO CODE CHANGE: the hero keeps the white card with the deep-green band and the green number (audit Q5 — the handoff's solid-green hero was declined), and the cash row keeps the real account name with "cash in this account" beneath it rather than the mock's shorter "Vanguard — sweep cash" (audit Q1). The MOCK was corrected to match the decision, not the other way round.</t>
        </is>
      </c>
      <c r="D78" s="4" t="inlineStr">
        <is>
          <t>Founder decisions on the audit workbook.</t>
        </is>
      </c>
      <c r="E78" s="4" t="inlineStr">
        <is>
          <t>Founder (audit workbook, Open founder calls Q1 + Q5)</t>
        </is>
      </c>
    </row>
    <row r="79">
      <c r="A79" s="4" t="inlineStr">
        <is>
          <t>2026-08-11</t>
        </is>
      </c>
      <c r="B79" s="4" t="inlineStr">
        <is>
          <t>Net worth (cushion) — accuracy</t>
        </is>
      </c>
      <c r="C79" s="4" t="inlineStr">
        <is>
          <t>ONE NUMBER, ONE PICTURE: the new cushion bar would have been drawn from 1.96 months while the label beside it read 2.0. Both now use the same rounded figure the person can actually see. A chart must never be drawn from a number that is not on the screen.</t>
        </is>
      </c>
      <c r="D79" s="4" t="inlineStr">
        <is>
          <t>Found while building the Q6 progress bar; same family as lesson L-7 (one canonical figure per concept).</t>
        </is>
      </c>
      <c r="E79" s="4" t="inlineStr">
        <is>
          <t>Claude (found + fixed 2026-08-11)</t>
        </is>
      </c>
    </row>
    <row r="80">
      <c r="A80" s="4" t="inlineStr">
        <is>
          <t>2026-08-11</t>
        </is>
      </c>
      <c r="B80" s="4" t="inlineStr">
        <is>
          <t>Net worth (hero)</t>
        </is>
      </c>
      <c r="C80" s="4" t="inlineStr">
        <is>
          <t>TODAY'S DATE RETURNS TO THE HERO TITLE BAR (founder ask): the band reads "YOUR NET WORTH · AUG 11, 2026 ⓘ" and stamps the day these numbers are true as of. It does NOT replace the since-line: that names the day the CHANGE is measured from ("since Aug 3, 2026"), which is a different fact. One helper defines today, so the screen can never print two different todays, and a test asserts today appears exactly ONCE. The first-day screen keeps the bare title — dating a screen of zeros would imply something was measured today, and approved State C shows the title with its dot alone.</t>
        </is>
      </c>
      <c r="D80" s="4" t="inlineStr">
        <is>
          <t>Founder ask 2026-08-11 ('add today's date to the Net Worth hero box title bar'). Supersedes note 1 of 2026-08-10, which had taken the date off the title.</t>
        </is>
      </c>
      <c r="E80" s="4" t="inlineStr">
        <is>
          <t>Founder (chat 2026-08-11)</t>
        </is>
      </c>
    </row>
    <row r="81">
      <c r="A81" s="4" t="inlineStr">
        <is>
          <t>2026-08-11</t>
        </is>
      </c>
      <c r="B81" s="4" t="inlineStr">
        <is>
          <t>Net worth (all section titles)</t>
        </is>
      </c>
      <c r="C81" s="4" t="inlineStr">
        <is>
          <t>ONE TITLING TREATMENT FOR THE WHOLE SCREEN (founder ask): the hero and the retirement plan left their floating cards and now wear the SAME full-width deep-green banner as WHAT YOU OWN, WHAT YOU OWE and EMERGENCY CUSHION — five sections, one bar, each flush to both screen edges with the same 12pt text inset. Their bodies carry the ledger's own inset, so text under a banner lines up with rows under one. Applied to the first-day screen as well, so the treatment does not depend on having data. An appearance test measures all five RENDERED banners: same deep green, same stretch, same inset, no side margins, white caps.</t>
        </is>
      </c>
      <c r="D81" s="4" t="inlineStr">
        <is>
          <t>Founder ask 2026-08-11: "make hero box and retirement plan title Green Banner - across the screen (similar to what you own title bar). That would look better and consistent."</t>
        </is>
      </c>
      <c r="E81" s="4" t="inlineStr">
        <is>
          <t>Founder (chat 2026-08-11)</t>
        </is>
      </c>
    </row>
    <row r="82">
      <c r="A82" s="4" t="inlineStr">
        <is>
          <t>2026-08-11</t>
        </is>
      </c>
      <c r="B82" s="4" t="inlineStr">
        <is>
          <t>Release</t>
        </is>
      </c>
      <c r="C82" s="4" t="inlineStr">
        <is>
          <t>BUILD 51 CUT (v1.1.0 build 51, from commit 8e09374 on taxonomy-v1.0.7) after the founder's explicit "cut the build" to a presented pre-build checklist. Gate satisfied in order: scope complete (59 of 59 tracker rows), audits FINISHED (mock-match audit round 1+2, and the 9-row open-gaps ledger re-verified against the live code and closed with the test that pins each), adversarial journey pass green (4 suites / 64 tests), then the checklist. Fresh gates at the cut: 1,492 tests green, tsc clean, UI-test gate passing, clean tree. Contents: the Net worth Quiet-Instrument rebuild, the founder's 11 hero corrections, his 6 audit decisions, the dated hero title, the one-banner titling, and 6 defects found during the audit (2 dead routes among them). Walk sheet: docs/FCC-core-55-70/build51-founder-walk-2026-08-11.xlsx. NUMBER CORRECTION 2026-08-11: this was first reported as build 50. `eas build:version:get` returns the LAST USED build number (50), not the next one; with autoIncrement the cut took 51. Build 50 is the Aug-10 build (commit 58bd1d1) and contains none of this work — which is why the founder saw no change on the Net worth screen when TestFlight showed 50. Read the number as the NEXT one from now on, or read it off the finished build.</t>
        </is>
      </c>
      <c r="D82" s="4" t="inlineStr">
        <is>
          <t>Founder: "cut the build" (2026-08-11), replying to the pre-build checklist.</t>
        </is>
      </c>
      <c r="E82" s="4" t="inlineStr">
        <is>
          <t>Founder (chat 2026-08-11)</t>
        </is>
      </c>
    </row>
    <row r="83">
      <c r="A83" s="4" t="inlineStr">
        <is>
          <t>2026-08-11</t>
        </is>
      </c>
      <c r="B83" s="4" t="inlineStr">
        <is>
          <t>All screens (section titles)</t>
        </is>
      </c>
      <c r="C83" s="4" t="inlineStr">
        <is>
          <t>GREEN TITLE BARS ARE SQUARE (founder ask): the rounded top corners are gone from SectionBand, so every green section title across the app is a straight edge-to-edge rule rather than a card lid. One component change, so it lands on all 29+ banded screens at once; a rendered-style test pins all four corners at 0.</t>
        </is>
      </c>
      <c r="D83" s="4" t="inlineStr">
        <is>
          <t>Founder ask 2026-08-11: "the green title bars are curved in the corners at the top. make them square and implement this on all screens."</t>
        </is>
      </c>
      <c r="E83" s="4" t="inlineStr">
        <is>
          <t>Founder (chat 2026-08-11)</t>
        </is>
      </c>
    </row>
    <row r="84">
      <c r="A84" s="4" t="inlineStr">
        <is>
          <t>2026-08-11</t>
        </is>
      </c>
      <c r="B84" s="4" t="inlineStr">
        <is>
          <t>All screens (account naming)</t>
        </is>
      </c>
      <c r="C84" s="4" t="inlineStr">
        <is>
          <t>ONE ACCOUNT-NAMING RULE ADOPTED: "&lt;institution&gt; -&lt;last four&gt;" — e.g. "Vanguard -5738" — used EVERYWHERE an account is named (Net worth rows, account detail, the missing-data banner and its fix sheet). The broker's own wording is never shown when we have the digits, so "Vanguard Kamala Kavadia Brokerage" becomes "Vanguard -5738". Only real digits qualify: E*TRADE relays a scrambled identifier through SnapTrade, and its tail is never passed off as "your last four". Where no digits exist the previous institution+label name stands, since dropping it would make two accounts at one firm identical.</t>
        </is>
      </c>
      <c r="D84" s="4" t="inlineStr">
        <is>
          <t>Founder rule 2026-08-11. Root cause it fixes: the missing-data banner printed "Vanguard last updated Aug 3" TWICE for two different accounts, because it named accounts by institution alone.</t>
        </is>
      </c>
      <c r="E84" s="4" t="inlineStr">
        <is>
          <t>Founder (chat 2026-08-11)</t>
        </is>
      </c>
    </row>
    <row r="85">
      <c r="A85" s="4" t="inlineStr">
        <is>
          <t>2026-08-11</t>
        </is>
      </c>
      <c r="B85" s="4" t="inlineStr">
        <is>
          <t>Net worth (missing-data sheet)</t>
        </is>
      </c>
      <c r="C85" s="4" t="inlineStr">
        <is>
          <t>THE "SYNC NOW" BUTTON NOW SYNCS. It previously NAVIGATED to the account page — which has no sync control on it — so a button labelled "Sync now" synced nothing and the person was left on a page that could not help. It now runs the sync in place, shows "Syncing…", and reports the outcome in the sheet. Gaps carry an explicit action (sync / reconnect / navigate) so a label and its behaviour can never drift apart again.</t>
        </is>
      </c>
      <c r="D85" s="4" t="inlineStr">
        <is>
          <t>Founder device finding 2026-08-11: "when I click on sync now, it takes to account detail page ... yet numbers are not updated."</t>
        </is>
      </c>
      <c r="E85" s="4" t="inlineStr">
        <is>
          <t>Founder (chat 2026-08-11)</t>
        </is>
      </c>
    </row>
    <row r="86">
      <c r="A86" s="4" t="inlineStr">
        <is>
          <t>2026-08-11</t>
        </is>
      </c>
      <c r="B86" s="4" t="inlineStr">
        <is>
          <t>Net worth + Performance (connection honesty)</t>
        </is>
      </c>
      <c r="C86" s="4" t="inlineStr">
        <is>
          <t>A DEAD CONNECTION CAN NOW SAY IT IS DEAD. Per-account sync failures were caught and only console-warned, so a broken connection and a healthy idle one looked identical — same "connected" label, same unchanging date. Failures are now recorded against the account (store.syncFailures, cleared on the next good sync) and surface as their own row: "We couldn't reach Vanguard -5738", with the honest meanwhile ("its numbers are the ones from Aug 3 — we don't guess at newer ones") and a RECONNECT button, which is the actual cure the approved State F mock called for. The unreachable row REPLACES the plain stale row, so one problem never prints twice.</t>
        </is>
      </c>
      <c r="D86" s="4" t="inlineStr">
        <is>
          <t>Founder device finding 2026-08-11: "it shows connected read only yet numbers are not updated. Is it connected or not?" — the app could not answer, which was the defect.</t>
        </is>
      </c>
      <c r="E86" s="4" t="inlineStr">
        <is>
          <t>Founder (chat 2026-08-11)</t>
        </is>
      </c>
    </row>
    <row r="87">
      <c r="A87" s="4" t="inlineStr">
        <is>
          <t>2026-08-11</t>
        </is>
      </c>
      <c r="B87" s="4" t="inlineStr">
        <is>
          <t>All screens (account naming) — REFINED</t>
        </is>
      </c>
      <c r="C87" s="4" t="inlineStr">
        <is>
          <t>THE NAMING RULE REFINED BY THE FOUNDER AND RECORDED IN THE PRD: (1) TAXABLE accounts = institution + last four ("Vanguard -5738"); with no digits = institution + the account word ("Vanguard Brokerage", "Chase Checking", "Ally Savings"); duplicates get · 1 / · 2. (2) TAX-ADVANTAGED accounts = institution + wrapper + last four when available ("Vanguard Roth IRA -5738"), because the wrapper IS the tax treatment; without digits "Fidelity 401(k)". A kind that describes HOLDINGS (stocks_etf, crypto, fixed_income, options) names the ACCOUNT that holds them — Brokerage — via a new wrapperWord map, so the row never reads "Vanguard Stocks / ETFs". Saved to the master requirements file: PRD v1.1 Amendments tab + a new Sameness-contract row naming the canonical helper and its pinning test.</t>
        </is>
      </c>
      <c r="D87" s="4" t="inlineStr">
        <is>
          <t>Founder rule 2026-08-11, refining the same-day first pass. It resolves the open question I raised: the wrapper carries the tax treatment, so it is compulsory exactly where tax treatment differs and optional where the digits already identify the account.</t>
        </is>
      </c>
      <c r="E87" s="4" t="inlineStr">
        <is>
          <t>Founder (chat 2026-08-11)</t>
        </is>
      </c>
    </row>
    <row r="88">
      <c r="A88" s="4" t="inlineStr">
        <is>
          <t>2026-08-11</t>
        </is>
      </c>
      <c r="B88" s="4" t="inlineStr">
        <is>
          <t>Net worth + Plan hub (retirement verdict)</t>
        </is>
      </c>
      <c r="C88" s="4" t="inlineStr">
        <is>
          <t>THE RETIREMENT CARD NO LONGER GOES QUIET WHEN THE NEWS IS BAD. onCourseSentence returned null below 80% odds, so both the Net worth card and the Plan hub fell back to a bare "See your plan ›" — the founder saw this on device and asked whether it was stale code. It was not: it was a deliberate gate that silenced the verdict exactly when it mattered. The verdict words themselves prove the design meant to speak in every case (Likely / Uncertain / Unlikely; Holding / Watch closely / Running short). The sentence now renders for EVERY computable plan, and the ending tells the truth: "lasting past 92 with ~$890,000 to spare" only when there IS something spare, otherwise "running short around age 84" — the age read from the band the simulation already produces (new shortfallAgeFromBand helper, wired on both screens). It stays silent only when there is genuinely nothing to say: no odds yet, or no projected pot.</t>
        </is>
      </c>
      <c r="D88" s="4" t="inlineStr">
        <is>
          <t>Founder device finding 2026-08-11: "Your retirement plan - it says See your plan. That is not what I approved. Is it stale code?" The approved card shows a verdict word plus the plan; a fallback that hides both was never approved.</t>
        </is>
      </c>
      <c r="E88" s="4" t="inlineStr">
        <is>
          <t>Founder (chat 2026-08-11)</t>
        </is>
      </c>
    </row>
    <row r="89">
      <c r="A89" s="4" t="inlineStr">
        <is>
          <t>2026-08-11</t>
        </is>
      </c>
      <c r="B89" s="4" t="inlineStr">
        <is>
          <t>Retirement odds — assumptions</t>
        </is>
      </c>
      <c r="C89" s="4" t="inlineStr">
        <is>
          <t>PORTFOLIO RISK IS NOW MEASURED, NOT GUESSED. The Monte Carlo used volatility = return × 1.7 (floored at 5%), a rule of thumb that called a savings account 5% volatile and could not express that bonds and shares swing differently. New KIND_VOLATILITY table = the annual standard deviation of each asset kind, drawn from the SAME long-run series as the returns, each with a named source in VOLATILITY_META (S&amp;P 500 for shares, US Aggregate for bonds, T-bills for cash, Case-Shiller for property; crypto/PE/hedge flagged as estimates). blendedVolatility weights them the way the money actually sits — the same weighting blendedReturn uses — so the return and the risk always describe ONE portfolio. Weighted-average volatility assumes the parts move together, which slightly OVERSTATES risk; erring cautious rather than flattering is the right side. The old return×1.7 rule survives only as the scenario fallback, for when someone types a return on the Plan sliders with nothing held yet.</t>
        </is>
      </c>
      <c r="D89" s="4" t="inlineStr">
        <is>
          <t>Founder question 2026-08-11: "where are we getting data or assumptions for monte carlo simulation?" — I flagged the derived volatility as the weakest assumption and the founder asked for it to be fixed.</t>
        </is>
      </c>
      <c r="E89" s="4" t="inlineStr">
        <is>
          <t>Founder (chat 2026-08-11)</t>
        </is>
      </c>
    </row>
    <row r="90">
      <c r="A90" s="4" t="inlineStr">
        <is>
          <t>2026-08-11</t>
        </is>
      </c>
      <c r="B90" s="4" t="inlineStr">
        <is>
          <t>Retirement card (Net worth + Plan hub) — missing data</t>
        </is>
      </c>
      <c r="C90" s="4" t="inlineStr">
        <is>
          <t>SAMPLE + ASK, IN EVERY PARTIAL CASE (founder rule). The verdict needs three answers — your age, what you spend, and what you have earmarked for retirement. Missing ANY of them used to produce a bare "See your plan ›", so someone missing one answer got LESS help than someone missing all three (the first-day screen already showed the labelled sample plus "3 answers make it yours"). Now any missing answer shows THE one app-wide sample ("Sample: 84% odds of lasting to age 90", always labelled) and names exactly what is missing: one → "add what you spend and it becomes yours"; two or three → "N answers make it yours: …". The sample figure and a real verdict never mix. SAMPLE_CHANCE/SAMPLE_HORIZON are now one constant so Home and Net worth cannot drift to two different samples.</t>
        </is>
      </c>
      <c r="D90" s="4" t="inlineStr">
        <is>
          <t>Founder rule 2026-08-11, after asking what the must-have data points are and what should happen when one, two or all are missing.</t>
        </is>
      </c>
      <c r="E90" s="4" t="inlineStr">
        <is>
          <t>Founder (chat 2026-08-11)</t>
        </is>
      </c>
    </row>
    <row r="91">
      <c r="A91" s="4" t="inlineStr">
        <is>
          <t>2026-08-11</t>
        </is>
      </c>
      <c r="B91" s="4" t="inlineStr">
        <is>
          <t>Retirement card — the info dot</t>
        </is>
      </c>
      <c r="C91" s="4" t="inlineStr">
        <is>
          <t>THE ⓘ NOW EXPLAINS THE WHOLE METHOD IN PLAIN ENGLISH, for someone who does not follow finance: what we run (your retirement played out 500 times, counting how often the money lasts), what "Monte Carlo" means (named after the casino — roll the dice repeatedly and look at the spread; one tidy forecast would hide the risk), every assumption in the model (growth from what you actually hold with its named yardsticks, the year-to-year swing, 2.5% inflation, your spending/retirement age/horizon, Social Security from the claim age, required withdrawals and their tax from 73, big one-off costs in their year), WHERE TO CHANGE THEM (Plan tab → Retirement), and the two honest limits (each year's luck treated as independent though bad years cluster; holdings treated as moving together, which makes the odds cautious).</t>
        </is>
      </c>
      <c r="D91" s="4" t="inlineStr">
        <is>
          <t>Founder ask 2026-08-11: "update info dot for retirement plan to explain all this in plain english for someone who does not understand finances."</t>
        </is>
      </c>
      <c r="E91" s="4" t="inlineStr">
        <is>
          <t>Founder (chat 2026-08-11)</t>
        </is>
      </c>
    </row>
    <row r="92">
      <c r="A92" s="4" t="inlineStr">
        <is>
          <t>2026-08-11</t>
        </is>
      </c>
      <c r="B92" s="4" t="inlineStr">
        <is>
          <t>Retirement odds — the write-up + the master record</t>
        </is>
      </c>
      <c r="C92" s="4" t="inlineStr">
        <is>
          <t>THE ACTUAL NUMBERS ADDED TO THE INFO DOT (founder ask): the write-up no longer names only the CATEGORIES of assumption but every figure — shares 10.4% (S&amp;P 500, 30 years), a 60/40 retirement mix 7.9%, brokerage 8%, bonds and CDs 4.2%, savings 2.4%, checking 0.5%, gold 8.2%, private equity 13%, crypto 8% (no long-run record — set your own), home 4.5%, car −5%; the year-to-year swings (shares ±18%, 60/40 ±11%, bonds ±6%, cash ±1%, crypto ±70%); inflation 2.5%; retire at 65 and plan to 90 unless answered; Social Security from the claim age (67 default); required-withdrawal tax 22% from age 73; big one-off costs in their stated year; and that the dice are SEEDED so the odds never jitter between visits. AND SAVED TO THE MASTER PRD: new tab "Retirement odds — assumptions" (45 rows) recording every input, its value, its source, whether the user can change it, and the code that owns it — with the two honest limits (independent yearly draws vs real clustering; weighted-average volatility ignoring diversification) written down rather than left implicit. An Amendments row dates the change in the PRD's own log.</t>
        </is>
      </c>
      <c r="D92" s="4" t="inlineStr">
        <is>
          <t>Founder ask 2026-08-11: "to the write add - assumption we are using. Again save all this in the master PRD file."</t>
        </is>
      </c>
      <c r="E92" s="4" t="inlineStr">
        <is>
          <t>Founder (chat 2026-08-11)</t>
        </is>
      </c>
    </row>
    <row r="93">
      <c r="A93" s="4" t="inlineStr">
        <is>
          <t>2026-08-11</t>
        </is>
      </c>
      <c r="B93" s="4" t="inlineStr">
        <is>
          <t>Net worth (composition bar)</t>
        </is>
      </c>
      <c r="C93" s="4" t="inlineStr">
        <is>
          <t>THE BAR FOLLOWS THE TOGGLE. It stayed grouped by category even on the By-institution tab, so the picture and the list beneath it answered different questions. It now regroups by institution — the same money, biggest first, in the same order as the rows below — using the validated categorical palette. The spoken label changes with it ("What you own by institution: Vanguard 80 percent, Chase 20 percent").</t>
        </is>
      </c>
      <c r="D93" s="4" t="inlineStr">
        <is>
          <t>Founder device finding 2026-08-11: "What you own bar - does not change to institution when I toggle to institution from category."</t>
        </is>
      </c>
      <c r="E93" s="4" t="inlineStr">
        <is>
          <t>Founder (chat 2026-08-11)</t>
        </is>
      </c>
    </row>
    <row r="94">
      <c r="A94" s="4" t="inlineStr">
        <is>
          <t>2026-08-11</t>
        </is>
      </c>
      <c r="B94" s="4" t="inlineStr">
        <is>
          <t>Net worth (account sub-line)</t>
        </is>
      </c>
      <c r="C94" s="4" t="inlineStr">
        <is>
          <t>THE SUB-LINE COUNTS INSTEAD OF REPEATING. Under an account it read "CDs &amp; Treasuries in this account" — directly beneath a row already titled Bonds &amp; CDs. It now counts what is actually held: "3 CDs &amp; 1 Treasury in this account", singular/plural correct. Cash says plainly "cash in this account" (one account, one cash line) unless a money-market fund is present, which is named and counted. Shares and funds are counted as "N holdings in this account" — a bare ticker cannot tell a share from an ETF, and inventing that split would be a guess.</t>
        </is>
      </c>
      <c r="D94" s="4" t="inlineStr">
        <is>
          <t>Founder finding 2026-08-11: the line "seems repetitive as it is already listed under CDs and Bonds asset class... can we add the number and say 3 CD &amp; 1 treasury bond in this account?"</t>
        </is>
      </c>
      <c r="E94" s="4" t="inlineStr">
        <is>
          <t>Founder (chat 2026-08-11)</t>
        </is>
      </c>
    </row>
    <row r="95">
      <c r="A95" s="4" t="inlineStr">
        <is>
          <t>2026-08-11</t>
        </is>
      </c>
      <c r="B95" s="4" t="inlineStr">
        <is>
          <t>Net worth (debt bar colours) — accessibility</t>
        </is>
      </c>
      <c r="C95" s="4" t="inlineStr">
        <is>
          <t>THE DEBT BAR IS NOW READABLE WITHOUT COLOUR VISION. It alternated red and amber — the exact pair red-green colour blindness collapses into one muddy tone. New DebtRamp token: ONE hue in four clearly separated LIGHTNESS steps (#4A2E00 → #854F0B → #B98A4B → #E8CFA6), each adjacent pair &gt;1.7:1 in relative luminance, so the segments are told apart by light-vs-dark rather than hue — the same for protanopia, deuteranopia, tritanopia and a greyscale screenshot. Still in the warning family, so debts never look like assets, and every segment is still named with its percent in the legend. A test asserts the ramp is strictly increasing in lightness and contains no red.</t>
        </is>
      </c>
      <c r="D95" s="4" t="inlineStr">
        <is>
          <t>Founder finding 2026-08-11: "the colors for different types of debt not friendly for color blind people."</t>
        </is>
      </c>
      <c r="E95" s="4" t="inlineStr">
        <is>
          <t>Founder (chat 2026-08-11)</t>
        </is>
      </c>
    </row>
    <row r="96">
      <c r="A96" s="4" t="inlineStr">
        <is>
          <t>2026-08-11</t>
        </is>
      </c>
      <c r="B96" s="4" t="inlineStr">
        <is>
          <t>Asset classification — cash means cash ONLY (two more holes closed)</t>
        </is>
      </c>
      <c r="C96" s="4" t="inlineStr">
        <is>
          <t>THE 2026-08-04 RULE NOW HOLDS AT THE LIVE CLASSIFICATION POINT, not only in the one-time migration. (a) accountClassBreakdown classified a POSITION purely by the tag the broker sends — and brokers tag both money-market funds and CDs as "cash" — so a holding synced AFTER the migration ran landed straight back in Cash. That is the founder's original CD-under-Cash defect mirrored in time (old data fixed, new data not). The name/ticker rule is applied at classification now, so it holds whenever the data arrives. (b) The rule matched on the fund NAME, so a broker sending only a symbol (VMFXX, SPAXX, SWVXX…) still put its money-market fund in Cash — the founder's own gap #2 surviving in the one place a name never appears. A list of the widely-held money-market symbols at Vanguard, Fidelity, Schwab, Merrill, BlackRock and Goldman now backs the name rule. ALSO: the account sub-line no longer names money-market funds under Cash at all — a cash slice is the sweep balance, so it reads "cash in this account". A stale 2026-07-19 test that asserted VMFXX belonged in Cash was corrected with the reason.</t>
        </is>
      </c>
      <c r="D96" s="4" t="inlineStr">
        <is>
          <t>Founder correction 2026-08-11: "we decided to move money markets and T-bills to stock/etf and bond &amp; CD respectively." Checking the copy against the rule exposed two places the rule was not actually being applied.</t>
        </is>
      </c>
      <c r="E96" s="4" t="inlineStr">
        <is>
          <t>Founder (chat 2026-08-11)</t>
        </is>
      </c>
    </row>
    <row r="97">
      <c r="A97" s="4" t="inlineStr">
        <is>
          <t>2026-08-11</t>
        </is>
      </c>
      <c r="B97" s="4" t="inlineStr">
        <is>
          <t>Net worth + all screens (money column)</t>
        </is>
      </c>
      <c r="C97" s="4" t="inlineStr">
        <is>
          <t>ONE SIZE FOR EVERY MONEY FIGURE, AND A REAL RIGHT EDGE. (a) Band totals rendered at 13pt while row values rendered at 15pt; every money figure is 15pt now, totals bold, so a band total and the rows beneath it read as one column. SectionBand is shared, so this lands on every banded screen. (b) THE COLUMN WAS GENUINELY BENT, and the founder was right to doubt it: a ledger ROW lays out [name][gap 8][value][gap 8][arrow 16], so its value ends 36pt from the screen edge, while a BAND placed its total at padding + 16 = 28pt. Band totals sat 8 points right of every row value. One constant (RIGHT_SLOT = arrow + gap) is now what every band passes, so both end on the same line by construction. (c) The test that was supposed to guard this only asserted marginRight === 16 — necessary and not sufficient, and it never compared the two sides. It now COMPUTES the distance from the screen edge to each number's right edge and asserts equality, plus that every money figure is one size and totals are bold.</t>
        </is>
      </c>
      <c r="D97" s="4" t="inlineStr">
        <is>
          <t>Founder 2026-08-11: "make all $$ same size and make totals bold. different size for dollar amount makes number not right aligned... are these tables or how are you ensuring they are right aligned?" — the question exposed a real 8-point misalignment and a test that could not have caught it.</t>
        </is>
      </c>
      <c r="E97" s="4" t="inlineStr">
        <is>
          <t>Founder (chat 2026-08-11)</t>
        </is>
      </c>
    </row>
    <row r="98">
      <c r="A98" s="4" t="inlineStr">
        <is>
          <t>2026-08-11</t>
        </is>
      </c>
      <c r="B98" s="4" t="inlineStr">
        <is>
          <t>Account detail — income attribution + activity order + the class slice</t>
        </is>
      </c>
      <c r="C98" s="4" t="inlineStr">
        <is>
          <t>THREE DEFECTS THE FOUNDER FOUND ON ONE PAGE. (a) INCOME WAS GUESSED ONTO HOLDINGS: a ledger row with no ticker matched EVERY non-stock holding, so the whole account's untickered income was pinned onto each row — a CD read "$16,907 dividends", which a CD cannot pay, and two CDs showed the same figure twice. A holding now claims income only when the source names that holding; untickered income is still counted, at the ACCOUNT level in the Income figure, where it honestly belongs. (b) THE ACTIVITY LIST WAS UNSORTED and shows only the first eight rows, so on any account with history the dividends and interest could sit past the cut — the page appeared to have none while the figures above counted them. Newest first now, which is what made the page contradict itself. (c) THE CLASS SLICE SHOWED TWO BARE FIGURES ($224,190 above, $224,690 below) that read as a mismatch; the line now states the arithmetic — "$224,190 of $224,690 in Vanguard -5738 — the other $500 is Cash".</t>
        </is>
      </c>
      <c r="D98" s="4" t="inlineStr">
        <is>
          <t>Founder device findings 2026-08-11: "the top of the page says $224190, and below it says $224690 — source seems misaligned" and "activity does not list any dividend and interests, but the CD ticker says income: $16,907 dividends · $10,787 interest. What is the source — these numbers are not correct?"</t>
        </is>
      </c>
      <c r="E98" s="4" t="inlineStr">
        <is>
          <t>Founder (chat 2026-08-11)</t>
        </is>
      </c>
    </row>
    <row r="99">
      <c r="A99" s="4" t="inlineStr">
        <is>
          <t>2026-08-11</t>
        </is>
      </c>
      <c r="B99" s="4" t="inlineStr">
        <is>
          <t>Asset classification — the unexplained leftover</t>
        </is>
      </c>
      <c r="C99" s="4" t="inlineStr">
        <is>
          <t>THE LEFTOVER IS CASH, NOT MORE OF THE BIGGEST HOLDING. When a broker's stated account total exceeded the sum of the holdings it itemised, the difference was added to the LARGEST class — so on a CD-heavy account the uninvested money was counted as MORE CDs, overstating the bonds slice and understating cash, silently, up to 1% of the account. A POSITIVE leftover is now cash: it is money the broker's total includes but its holdings do not account for — settlement cash, a dividend just received, a pending trade — and calling it cash is nearly always true, while calling it "more CDs" is a claim about what the person OWNS that we cannot support. A NEGATIVE leftover (priced holdings exceeding the stated total) stays absorbed by the largest class, because it is a pricing artifact rather than money and writing it into cash would show a negative cash balance. Totals still reconcile exactly either way.</t>
        </is>
      </c>
      <c r="D99" s="4" t="inlineStr">
        <is>
          <t>Founder question 2026-08-11: "why is cash added to CD and not cash?" — asked while checking the $500 difference on the Vanguard account page.</t>
        </is>
      </c>
      <c r="E99" s="4" t="inlineStr">
        <is>
          <t>Founder (chat 2026-08-11)</t>
        </is>
      </c>
    </row>
    <row r="100">
      <c r="A100" s="4" t="inlineStr">
        <is>
          <t>2026-08-11</t>
        </is>
      </c>
      <c r="B100" s="4" t="inlineStr">
        <is>
          <t>Transactions — a deposit into a holdings account</t>
        </is>
      </c>
      <c r="C100" s="4" t="inlineStr">
        <is>
          <t>THE ROOT CAUSE BEHIND THE $500. A deposit only moves money into an account's cash sleeve when that account HAS one (derive_balance set, or a cash figure already present). The founder's Vanguard account itemises its holdings but its broker never sent a cash figure, so the deposit simply inflated the stated total — the holdings could no longer explain it, and the unexplained difference was then inferred elsewhere. That is the whole chain behind $500 of deposited money being counted as more CDs. Now: money arriving in an account that itemises holdings OPENS the cash sleeve and lands there, and the stated total rises by the same amount, so the classification explains the whole figure with nothing left to infer. A plain account with nothing to itemise is unchanged — it just grows, and no sleeve is invented. AND THE SCREEN SAYS SO: the deposit sheet now reads "Lands as cash in this account. When you invest it, record the purchase and it moves into that holding" (withdrawals get the matching sentence). It never needed to ASK — money arriving at a broker IS settlement cash until a purchase moves it — but it did need to say.</t>
        </is>
      </c>
      <c r="D100" s="4" t="inlineStr">
        <is>
          <t>Founder finding 2026-08-11: "$500 is what I added manually as a deposit to the Vanguard account. It never asked me if it was in cash or something else?"</t>
        </is>
      </c>
      <c r="E100" s="4" t="inlineStr">
        <is>
          <t>Founder (chat 2026-08-11)</t>
        </is>
      </c>
    </row>
    <row r="101">
      <c r="A101" s="4" t="inlineStr">
        <is>
          <t>2026-08-11</t>
        </is>
      </c>
      <c r="B101" s="4" t="inlineStr">
        <is>
          <t>Release</t>
        </is>
      </c>
      <c r="C101" s="4" t="inlineStr">
        <is>
          <t>BUILD 52 CUT (v1.1.0 build 52 — number read OFF the finished build, from commit ec8e487 on taxonomy-v1.0.7, PUSHED before the cut so it is reproducible from the remote) after the founder's explicit "cut the build" to a presented pre-build checklist. Gate satisfied in order: scope complete (59/59 tracker rows; 13 commits since build 51, all from the founder's same-day device findings), audits FINISHED (open-gaps ledger 9 of 9 closed), adversarial journey pass green (5 suites / 64 tests), then the checklist. Fresh gates at the cut: 1,522 tests green, tsc clean, UI-test gate passing, clean tree. Contents: the account-naming rule, square banners app-wide, one money size and the 8-point right-edge fix, a Sync-now that syncs, a dead connection that says so, cash-means-cash enforced where data arrives, the leftover-is-cash rule, deposits landing in cash, income no longer guessed onto holdings, activity newest-first, the retirement card speaking below 80%, measured volatility, sample-and-ask, and the rewritten odds info dot. Walk sheet: docs/FCC-core-55-70/build52-founder-walk-2026-08-11.xlsx (26 rows, organised by the founder's own findings).</t>
        </is>
      </c>
      <c r="D101" s="4" t="inlineStr">
        <is>
          <t>Founder: "cut the build" (2026-08-11), replying to the pre-build checklist.</t>
        </is>
      </c>
      <c r="E101" s="4" t="inlineStr">
        <is>
          <t>Founder (chat 2026-08-11)</t>
        </is>
      </c>
    </row>
    <row r="102">
      <c r="A102" s="4" t="inlineStr">
        <is>
          <t>2026-08-11</t>
        </is>
      </c>
      <c r="B102" s="4" t="inlineStr">
        <is>
          <t>Net worth (fix-it sheet) — the sync told the truth about nothing</t>
        </is>
      </c>
      <c r="C102" s="4" t="inlineStr">
        <is>
          <t>THREE FIXES BEHIND ONE FOUNDER REPORT. (a) THE MESSAGE LIED BY OMISSION: the sheet ignored what the sync returned and always said "Updated", so when nothing was refreshed it claimed success while both rows sat exactly where they were. It now reports the actual count — "Updated 2 accounts" — or, at zero, "Nothing could be refreshed — your broker didn't answer. That usually means the connection has expired: use Reconnect below." (b) THERE WAS NOWHERE TO RE-LOGIN: the sheet told people a re-login was needed while offering only a Sync button. Every connection row now carries a second door, Reconnect, exactly as the approved State F mock drew it ("Sync now › Reconnect ›") — a sync can never revive a connection the provider has dropped. (c) THE ROOT CAUSE OF THE SILENCE: when the provider reports NO connections while the app still holds accounts marked connected (a revoked link, an expired session, or a provider-side user reset — the founder ran a SnapTrade purge on 2026-08-04), nothing threw, so nothing was recorded and those accounts just aged quietly. Every such account is now recorded as unreachable, so it SAYS it cannot be refreshed and offers the re-login.</t>
        </is>
      </c>
      <c r="D102" s="4" t="inlineStr">
        <is>
          <t>Founder device finding 2026-08-11: "pressed sync now... the message says Updated. Anything still listed here needs a re-login. Not sure what got updated, both accounts still listed to sync. Also no place to re-login."</t>
        </is>
      </c>
      <c r="E102" s="4" t="inlineStr">
        <is>
          <t>Founder (chat 2026-08-11)</t>
        </is>
      </c>
    </row>
    <row r="103">
      <c r="A103" s="4" t="inlineStr">
        <is>
          <t>2026-08-11</t>
        </is>
      </c>
      <c r="B103" s="4" t="inlineStr">
        <is>
          <t>Plan — the three questions (NEW screen)</t>
        </is>
      </c>
      <c r="C103" s="4" t="inlineStr">
        <is>
          <t>A LINE THAT NAMES AN ANSWER NOW LANDS ON THAT ANSWER. "Add your age and it becomes yours" went to the Plan HUB, whose own "1 answer left" went to Sharpen your plan — a SEVEN-item completeness checklist driven by a different engine than the three-answer count. Three hops to answer one question, and the last one did not ask it. Worse, the app had NO screen that captured your age at all: the only writer was the What-if slider, which is why the line had nowhere sensible to go. NEW /plan-answers asks exactly the answers the odds are missing (your age · what you spend · what you have), each saving as you type, with ?focus= opening straight at one; it shows THE ODDS on the same screen the moment all three are in, so nobody has to travel to find out whether it worked. Net worth's sample line and the Plan hub's door both point here now. Sharpen keeps its own job — how complete is the whole plan — and stops being the destination for "see your real odds", which is a different question. The three ways in (connect · import · by hand) moved to ONE shared list so two screens cannot word them differently. Route whitelisted in the guard (the T22 class), and the dead-route guard covers it.</t>
        </is>
      </c>
      <c r="D103" s="4" t="inlineStr">
        <is>
          <t>Founder finding 2026-08-11: "when I click add your age it takes me to plan main screen, and 1 answer left takes me to sharpen your plan. Does not seem like optimal flow."</t>
        </is>
      </c>
      <c r="E103" s="4" t="inlineStr">
        <is>
          <t>Founder (chat 2026-08-11)</t>
        </is>
      </c>
    </row>
    <row r="104">
      <c r="A104" s="4" t="inlineStr">
        <is>
          <t>2026-08-11</t>
        </is>
      </c>
      <c r="B104" s="4" t="inlineStr">
        <is>
          <t>Retirement — what counts toward it (RULE CHANGE)</t>
        </is>
      </c>
      <c r="C104" s="4" t="inlineStr">
        <is>
          <t>FOUNDER RULE: everything you own counts toward retirement EXCEPT your primary home and your primary car. Cash now counts (it is money you can spend), a rental counts (you can sell it), and a SECOND car counts — only the roof over your head and the car you drive are assumed off the table, because selling those is not a retirement plan. A 529 stays out (legally someone else's). The primary car = the most valuable vehicle, so a two-car household keeps the second as a real asset. Any of it is changeable per account, and the person's own choice always beats the default. This SUPERSEDES the old Term #7 default (property 0%, cash 0%, investments 100%) — five pinned tests were carrying that rule and each was updated with the reason. Knock-on, stated honestly: the expected-growth blend now includes cash, so a cash-heavy pot shows a LOWER growth rate — correct, because such a pot really does grow more slowly.</t>
        </is>
      </c>
      <c r="D104" s="4" t="inlineStr">
        <is>
          <t>Founder rule 2026-08-11: "for calculating assets to count towards retirement - it should be all assets minus primary home and primary car. If they want they can change which asset should not count."</t>
        </is>
      </c>
      <c r="E104" s="4" t="inlineStr">
        <is>
          <t>Founder (chat 2026-08-11)</t>
        </is>
      </c>
    </row>
    <row r="105">
      <c r="A105" s="4" t="inlineStr">
        <is>
          <t>2026-08-11</t>
        </is>
      </c>
      <c r="B105" s="4" t="inlineStr">
        <is>
          <t>Plan — the three questions screen (extended)</t>
        </is>
      </c>
      <c r="C105" s="4" t="inlineStr">
        <is>
          <t>ONE SCREEN, EVERYTHING ON IT, SAME SCREEN EVERYWHERE. It now shows ALL three answers — never hiding one because it is already answered — prefilled with what we already hold, missing ones first, with ?focus= putting a named one at the top. "What counts toward retirement" lists every account with a tick, its value, and a tap to include or exclude it, plus the running total that will fund retirement and the three doors to add anything missing. The odds sit on the same screen and re-run as answers change, so nobody travels to find out whether it worked; the button then reads "Save &amp; go back". AND: Home, Net worth and the Plan hub now all open THIS screen from "see your real odds" — one destination, wherever it is tapped. (Home still goes to the Plan tab once real odds exist, because then there IS a full picture to see.) Sharpen your plan keeps its own separate job — how complete is the whole plan.</t>
        </is>
      </c>
      <c r="D105" s="4" t="inlineStr">
        <is>
          <t>Founder rules 2026-08-11: "when the screen pops up it should tell the information we already have and give them the ability to modify, and enter what's not provided. All on one screen. Once they save - come back to the NW screen" + "make sure it is the same screen which pops up every time person clicks see your real odds whether from Home, NW or Plan".</t>
        </is>
      </c>
      <c r="E105" s="4" t="inlineStr">
        <is>
          <t>Founder (chat 2026-08-11)</t>
        </is>
      </c>
    </row>
    <row r="106">
      <c r="A106" s="4" t="inlineStr">
        <is>
          <t>2026-08-11</t>
        </is>
      </c>
      <c r="B106" s="4" t="inlineStr">
        <is>
          <t>Home + Net worth — the complete state (and the hole behind it)</t>
        </is>
      </c>
      <c r="C106" s="4" t="inlineStr">
        <is>
          <t>WHEN ALL THREE ANSWERS EXIST: Net worth shows the real verdict sentence ("Uncertain — retire at 65 with ~$1,607,000, lasting past 90 with ~$2,402,000 to spare ›") and tapping the card opens the Plan tab; Home shows the real gauge and percentage with "See the full picture ›", also to Plan. No sample appears beside a real verdict, and the bare "See your plan ›" appears nowhere. Verified by rendering both screens with a complete profile. THE HOLE THAT QUESTION EXPOSED: planDoor counted ANY account with a balance as "what you have", while the odds run on what is EARMARKED for retirement — so someone whose only asset is the home they live in looked COMPLETE to the door and produced no odds at all, landing on exactly the bare fallback we removed everywhere else. The gate now means what the odds mean (earmarked &gt; 0), and owning things while none of them count is reported as its own case — "choose what counts toward retirement" — which lands on the answers screen where the home can be ticked in. The door also credits what actually counts rather than every balance on file.</t>
        </is>
      </c>
      <c r="D106" s="4" t="inlineStr">
        <is>
          <t>Founder question 2026-08-11: "On home and NW screen - if all the information is available - what happens?"</t>
        </is>
      </c>
      <c r="E106" s="4" t="inlineStr">
        <is>
          <t>Founder (chat 2026-08-11)</t>
        </is>
      </c>
    </row>
    <row r="107">
      <c r="A107" s="4" t="inlineStr">
        <is>
          <t>2026-08-11</t>
        </is>
      </c>
      <c r="B107" s="4" t="inlineStr">
        <is>
          <t>Net worth — the verdict word carries its number</t>
        </is>
      </c>
      <c r="C107" s="4" t="inlineStr">
        <is>
          <t>A BARE ADJECTIVE IS NOT A VERDICT. Net worth was the ONLY surface showing the verdict word with no number beside it — Home says "78% odds of lasting to age 90", the Plan hub says "84 in 100 paths", Net worth said just "Uncertain". The number travels with the word now: "Uncertain — 78 in 100 · retire at 65 with ~$1,607,000, lasting past 90 with ~$2,402,000 to spare ›". AND THE DEEPER CONFUSION IS ANSWERED WHERE IT IS ASKED: the info dot already on that card now defines the three words by their bands (Likely 80+, Uncertain 60-79, Unlikely under 60; retired: Holding / Watch closely / Running short) and explains why a plan can read "Uncertain" while showing money to spare — the dollar figure is the MIDDLE of the 500 runs, the odds count how many lasted at all, so "78 in 100 with $2.4m to spare" means a typical run finishes rich and 22 runs in 100 still ran out. Two true facts, not a mistake; averages hide exactly that, which is why the odds exist.</t>
        </is>
      </c>
      <c r="D107" s="4" t="inlineStr">
        <is>
          <t>Founder question 2026-08-11: "Uncertain — retire at 65 with ~$1,607,000, lasting past 90 with ~$2,402,000 to spare — what does uncertain mean?"</t>
        </is>
      </c>
      <c r="E107" s="4" t="inlineStr">
        <is>
          <t>Founder (chat 2026-08-11)</t>
        </is>
      </c>
    </row>
    <row r="108">
      <c r="A108" s="4" t="inlineStr">
        <is>
          <t>2026-08-11</t>
        </is>
      </c>
      <c r="B108" s="4" t="inlineStr">
        <is>
          <t>Home + Net worth + Plan — ONE wording for the odds</t>
        </is>
      </c>
      <c r="C108" s="4" t="inlineStr">
        <is>
          <t>THREE SCREENS SAID ONE NUMBER THREE WAYS: Home "Uncertain — 78% odds of lasting to age 90", the Plan hub "78 in 100 paths last to 90", Net worth a bare "Uncertain". The founder's wording is now the only one: "&lt;word&gt; — xx% odds of lasting to age abc", produced by ONE helper (oddsLine) that all three screens call; the app-wide sample likewise comes from sampleOddsLine ("Sample: 84% odds of lasting to age 90"), replacing the hub's "Sample: Likely — 84 in 100 paths". A test asserts all three screens call the helpers and that no screen builds the sentence by hand or says "in 100 paths", so a fourth phrasing cannot appear.</t>
        </is>
      </c>
      <c r="D108" s="4" t="inlineStr">
        <is>
          <t>Founder rule 2026-08-11: "make sure when we are using same language everywhere to convey same message. We should have the same language on home, NW and Plan for retirement — xx% odds of lasting to age abc."</t>
        </is>
      </c>
      <c r="E108" s="4" t="inlineStr">
        <is>
          <t>Founder (chat 2026-08-11)</t>
        </is>
      </c>
    </row>
    <row r="109">
      <c r="A109" s="4" t="inlineStr">
        <is>
          <t>2026-08-11</t>
        </is>
      </c>
      <c r="B109" s="4" t="inlineStr">
        <is>
          <t>Info dot — long definitions were unreadable</t>
        </is>
      </c>
      <c r="C109" s="4" t="inlineStr">
        <is>
          <t>THE INFO-DOT CARD DID NOT SCROLL. Its body was a plain Text, so anything past the bottom of the card was simply unreachable — and the retirement explanation had just grown to several screens (the method, every assumption with its number, where to change them, the honest limits, and now the meaning of the verdict words). Everything below the fold was invisible with no way to reach it. The body now scrolls inside a capped area with a visible scrollbar, and the "Got it" button stays anchored below rather than scrolling away. One shared component, so every definition in the app benefits.</t>
        </is>
      </c>
      <c r="D109" s="4" t="inlineStr">
        <is>
          <t>Founder finding 2026-08-11: "info dot retirement has more information than what can fit on one screen but no scrolling feature."</t>
        </is>
      </c>
      <c r="E109" s="4" t="inlineStr">
        <is>
          <t>Founder (chat 2026-08-11)</t>
        </is>
      </c>
    </row>
    <row r="110">
      <c r="A110" s="4" t="inlineStr">
        <is>
          <t>2026-08-11</t>
        </is>
      </c>
      <c r="B110" s="4" t="inlineStr">
        <is>
          <t>Performance — handoff evaluated, first tranche built</t>
        </is>
      </c>
      <c r="C110" s="4" t="inlineStr">
        <is>
          <t>CLAUDE DESIGN PERFORMANCE HANDOFF received and archived (mockups/Performance-handoff-Aug-11/). Evaluated against the built screen by rendering it and dumping every visible string. ALREADY MATCHES: green header band with date, period chips each carrying their own window return or an em dash, the summary trio with its window caption, the amber missing-data banner directly below the summary, the all-accounts walk in the approved row order, the category-earnings table, and the by-class holdings list. BUILT NOW: (a) the walk is titled "· ALL ACCOUNTS", as the handoff names it — which matters because per-account walks sit directly beneath it; (b) EVERY account with value now gets its own walk. They were built only from itemised holding rows, so an account with a balance and no holdings — a CD account, anything hand-entered — vanished from the list, and the per-account walks silently stopped summing to the all-accounts walk above them. STILL OPEN, listed for the founder: category rows are not yet tappable through to a category-detail screen; the handoff's per-category "/yr" treatment for bonds and cash (their stated yield rather than a window return); the account page's "you entered this" tag with an edit affordance on user-entered records and its "See all activity (older than X)" door. NOT ADOPTED, per the founder's instruction to take UX and not calculations: the handoff's own figures and its category-return definitions — ours stay.</t>
        </is>
      </c>
      <c r="D110" s="4" t="inlineStr">
        <is>
          <t>Founder 2026-08-11: "Requirements for performance, and account detail screens - evaluate them and build. Again similar to NW - use these for UX design and not calculation and back end infrastructure."</t>
        </is>
      </c>
      <c r="E110" s="4" t="inlineStr">
        <is>
          <t>Founder (chat 2026-08-11)</t>
        </is>
      </c>
    </row>
    <row r="111">
      <c r="A111" s="4" t="inlineStr">
        <is>
          <t>2026-08-11</t>
        </is>
      </c>
      <c r="B111" s="4" t="inlineStr">
        <is>
          <t>Account detail — whose fact is this row?</t>
        </is>
      </c>
      <c r="C111" s="4" t="inlineStr">
        <is>
          <t>EVERY ACTIVITY ROW NOW SAYS WHERE IT CAME FROM. The list mixed the broker's own records with rows the person typed and showed them identically — so a $500 deposit typed as $5,000 was indistinguishable from a Vanguard record, and equally unfixable. Your rows wear "you entered this" and a pencil; broker rows read "from Vanguard" and offer nothing, because the next sync would overwrite any change. CORRECTING a row goes through the ONE transactions engine as a reversal plus a fresh record, so the balance moves by the same tested rules as every other change rather than being patched behind the ledger's back; a row the ledger cannot reverse says so plainly and offers a correcting entry instead. Delete is on the same sheet. NOTE: the handoff's other activity item — "See all activity (older than Jul 19)" — was already built in a different form: the page shows the newest eight and offers "See all activity (N) ›". Ours truncates by count rather than by window, which after the newest-first fix is the clearer of the two.</t>
        </is>
      </c>
      <c r="D111" s="4" t="inlineStr">
        <is>
          <t>Founder 2026-08-11, after asking what the item meant and approving the build.</t>
        </is>
      </c>
      <c r="E111" s="4" t="inlineStr">
        <is>
          <t>Founder (chat 2026-08-11)</t>
        </is>
      </c>
    </row>
    <row r="112">
      <c r="A112" s="4" t="inlineStr">
        <is>
          <t>2026-08-11</t>
        </is>
      </c>
      <c r="B112" s="4" t="inlineStr">
        <is>
          <t>Master monitor + PRD — what is built, written down</t>
        </is>
      </c>
      <c r="C112" s="4" t="inlineStr">
        <is>
          <t>THE MASTER LIST NOW CARRIES THE DAY. A new tab "Built — Aug 11" in docs/FCC-core-55-70/build-analysis-july24.xlsx records 18 built items in five groups (the Net worth Quiet-Instrument rebuild; connection honesty; the classification chain; the retirement plan; account detail + Performance), each with what was wrong, what is built, and which instruction it came from. The SUMMARY tab gains a pointer row so the day is visible from the front of the file. The 44 existing rows were left exactly as they stood — none of them is what today's work touched, and re-labelling unrelated rows would have made the monitor lie. The PRD gains an Amendments row pointing at the tab and naming the two Performance items still open by the founder's own instruction (a category-detail screen; the "/yr" stated-yield treatment, which is a calculation change).</t>
        </is>
      </c>
      <c r="D112" s="4" t="inlineStr">
        <is>
          <t>Founder 2026-08-11: "Update master PRD document. Go to master list of what's missing in app versus PRD, and update it listing what already build."</t>
        </is>
      </c>
      <c r="E112" s="4" t="inlineStr">
        <is>
          <t>Founder (chat 2026-08-11)</t>
        </is>
      </c>
    </row>
    <row r="113">
      <c r="A113" s="4" t="inlineStr">
        <is>
          <t>2026-08-11</t>
        </is>
      </c>
      <c r="B113" s="4" t="inlineStr">
        <is>
          <t>Plan answers — the verdict speaks the ONE app-wide wording</t>
        </is>
      </c>
      <c r="C113" s="4" t="inlineStr">
        <is>
          <t>FOUND BY THE END-TO-END WALK. Home, Net worth and the Plan hub all say "&lt;word&gt; — xx% odds of lasting to age abc", but the answers screen — the very screen a person lands on to fix their odds — said "&lt;word&gt; — 0 in 100" instead, with no age in it. Worse, the same screen switched wording between its own two states: its SAMPLE line already read "Sample: 84% odds of lasting to age 90". It now calls the same shared oddsLine() helper the other three screens call, so there is one sentence in one place. Pinned by test C6, which renders all three surfaces for one person and fails unless the sentences are identical.</t>
        </is>
      </c>
      <c r="D113" s="4" t="inlineStr">
        <is>
          <t>Founder rule 2026-08-11: "Let's make sure we are using same language everywhere to convey same message — xx% odds of lasting to age abc" — the walk found the one screen that was not.</t>
        </is>
      </c>
      <c r="E113" s="4" t="inlineStr">
        <is>
          <t>Founder (chat 2026-08-11)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2026-07-02T19:35:46Z</dcterms:created>
  <dcterms:modified xsi:type="dcterms:W3CDTF">2026-08-12T06:21:00Z</dcterms:modified>
  <cp:lastModifiedBy>Microsoft Office User</cp:lastModifiedBy>
</cp:coreProperties>
</file>