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n Items &amp; Backlog" sheetId="1" r:id="rId1"/>
    <sheet name="Bug Ledger (all)" sheetId="2" r:id="rId2"/>
    <sheet name="Shipped 2026-06" sheetId="3" r:id="rId3"/>
  </sheets>
  <definedNames>
    <definedName name="_xlnm._FilterDatabase" localSheetId="1" hidden="1">'Bug Ledger (all)'!$A$1:$F$51</definedName>
    <definedName name="_xlnm._FilterDatabase" localSheetId="0" hidden="1">'Open Items &amp; Backlog'!$A$1:$G$27</definedName>
    <definedName name="_xlnm._FilterDatabase" localSheetId="2" hidden="1">'Shipped 2026-06'!$A$1:$D$14</definedName>
  </definedNames>
  <calcPr calcId="124519" fullCalcOnLoad="1"/>
</workbook>
</file>

<file path=xl/sharedStrings.xml><?xml version="1.0" encoding="utf-8"?>
<sst xmlns="http://schemas.openxmlformats.org/spreadsheetml/2006/main" count="542" uniqueCount="346">
  <si>
    <t>ID</t>
  </si>
  <si>
    <t>Category</t>
  </si>
  <si>
    <t>Item</t>
  </si>
  <si>
    <t>Priority</t>
  </si>
  <si>
    <t>Status</t>
  </si>
  <si>
    <t>Owner</t>
  </si>
  <si>
    <t>Next step / detail</t>
  </si>
  <si>
    <t>L-1</t>
  </si>
  <si>
    <t>Launch</t>
  </si>
  <si>
    <t>Market-data licensing — replace the unofficial Yahoo endpoint with a licensed end-of-day vendor (Tiingo / EODHD / Twelve Data)</t>
  </si>
  <si>
    <t>Blocker</t>
  </si>
  <si>
    <t>Open</t>
  </si>
  <si>
    <t>You + Eng</t>
  </si>
  <si>
    <t>Pick a vendor + get an API key; then a ~1-file PriceProvider swap in marketData.ts. THE main remaining launch blocker.</t>
  </si>
  <si>
    <t>L-2</t>
  </si>
  <si>
    <t>App Store listing — screenshots (6.7in/6.5in), description, keywords, category, age rating</t>
  </si>
  <si>
    <t>You</t>
  </si>
  <si>
    <t>Prepare in App Store Connect.</t>
  </si>
  <si>
    <t>L-3</t>
  </si>
  <si>
    <t>App Privacy 'nutrition label' must match the privacy manifest (Email, Name, Financial info, Crash data; all app-functionality, no tracking)</t>
  </si>
  <si>
    <t>Enter in App Store Connect; Apple cross-checks against the manifest.</t>
  </si>
  <si>
    <t>L-4</t>
  </si>
  <si>
    <t>Reviewer demo login — a working email+password with sample data in the submission notes</t>
  </si>
  <si>
    <t>Without it the reviewer can't get past login -&gt; rejection.</t>
  </si>
  <si>
    <t>L-5</t>
  </si>
  <si>
    <t>On-device test of new flows (delete account, recovery code, Face ID lock)</t>
  </si>
  <si>
    <t>Blocker (verify)</t>
  </si>
  <si>
    <t>In progress</t>
  </si>
  <si>
    <t>TestFlight v1.0.1 build #22 uploaded 2026-06-20 (crypto fix); test once it finishes processing.</t>
  </si>
  <si>
    <t>S-1</t>
  </si>
  <si>
    <t>Security/Privacy</t>
  </si>
  <si>
    <t>Household / partner sharing under zero-knowledge encryption</t>
  </si>
  <si>
    <t>Next-up</t>
  </si>
  <si>
    <t>Eng</t>
  </si>
  <si>
    <t>Two passwords can't share one key today; fails safe (no crash). Restore via a shared key passed through the invite code (key-wrapping).</t>
  </si>
  <si>
    <t>S-2</t>
  </si>
  <si>
    <t>Multi-factor authentication (MFA)</t>
  </si>
  <si>
    <t>Later</t>
  </si>
  <si>
    <t>App lock + inactivity timeout already shipped; MFA is the remaining auth-hardening item.</t>
  </si>
  <si>
    <t>S-3</t>
  </si>
  <si>
    <t>Sentry crash reporting — wire @sentry/react-native properly</t>
  </si>
  <si>
    <t>Needs Metro config (getSentryExpoConfig) + Expo plugin + DSN. Global JS error handler already ships crash capture locally.</t>
  </si>
  <si>
    <t>S-4</t>
  </si>
  <si>
    <t>Deploy the AI proxy (functions/) + set AI_PROXY_URL — or ship v1 without AI tips</t>
  </si>
  <si>
    <t>Needs the Firebase Blaze plan. App already falls back to on-device tips.</t>
  </si>
  <si>
    <t>S-5</t>
  </si>
  <si>
    <t>Dependency audit — triage 58 npm advisories (npm audit --omit=dev)</t>
  </si>
  <si>
    <t>Almost all are build-time tooling, not shipped in the app.</t>
  </si>
  <si>
    <t>A-1</t>
  </si>
  <si>
    <t>Accessibility</t>
  </si>
  <si>
    <t>Per-screen screen-reader labels on the remaining ~26 screens</t>
  </si>
  <si>
    <t>Eng/UI</t>
  </si>
  <si>
    <t>Shared Button/controls, tab bar, TopBar, Home + new screens already labelled.</t>
  </si>
  <si>
    <t>A-2</t>
  </si>
  <si>
    <t>Dark mode</t>
  </si>
  <si>
    <t>UI</t>
  </si>
  <si>
    <t>A-3</t>
  </si>
  <si>
    <t>Privacy-blur when the app is backgrounded</t>
  </si>
  <si>
    <t>Hide financial data in the app switcher.</t>
  </si>
  <si>
    <t>A-4</t>
  </si>
  <si>
    <t>Color-contrast audit (G-32)</t>
  </si>
  <si>
    <t>F-1</t>
  </si>
  <si>
    <t>Features</t>
  </si>
  <si>
    <t>Receipt OCR native rebuild + test (ML Kit)</t>
  </si>
  <si>
    <t>npx expo run:ios to activate, then test a real receipt.</t>
  </si>
  <si>
    <t>F-2</t>
  </si>
  <si>
    <t>Plaid bank / brokerage linking</t>
  </si>
  <si>
    <t>Biggest stickiness lever; manual entry doesn't scale. Needs Plaid keys + a backend.</t>
  </si>
  <si>
    <t>F-3</t>
  </si>
  <si>
    <t>Savings goals — finish the waterfall-backed goals screen UI</t>
  </si>
  <si>
    <t>F-4</t>
  </si>
  <si>
    <t>Drawdown deeper tax-awareness (Roth conversions, capital-gains harvesting, catch-up)</t>
  </si>
  <si>
    <t>Drawdown v1 shipped (withdrawal order, depletion age, RMDs).</t>
  </si>
  <si>
    <t>F-5</t>
  </si>
  <si>
    <t>Single-total vs categories spend reconciliation — one source of truth</t>
  </si>
  <si>
    <t>F-6</t>
  </si>
  <si>
    <t>Full string internationalization (translate copy, not just numbers)</t>
  </si>
  <si>
    <t>Currency picker already reformats numbers.</t>
  </si>
  <si>
    <t>F-7</t>
  </si>
  <si>
    <t>Auto-derive dividends from ticker; ticker autocomplete; price-cache TTL</t>
  </si>
  <si>
    <t>Perf v2 polish.</t>
  </si>
  <si>
    <t>F-8</t>
  </si>
  <si>
    <t>Life-stage gaps: 529 college planning, life/LTC insurance, estate/legacy</t>
  </si>
  <si>
    <t>F-9</t>
  </si>
  <si>
    <t>Push notifications (reminders/nudges) — plugin configured, needs APNs + logic</t>
  </si>
  <si>
    <t>P-1</t>
  </si>
  <si>
    <t>Polish</t>
  </si>
  <si>
    <t>Net-worth-over-time card on Home; runway / emergency-fund insight</t>
  </si>
  <si>
    <t>P-2</t>
  </si>
  <si>
    <t>Header + bottom tab bar redesign; legacy detail-screen redesigns</t>
  </si>
  <si>
    <t>I-1</t>
  </si>
  <si>
    <t>Infra</t>
  </si>
  <si>
    <t>GitHub Pages 'pages build and deployment' workflow keeps failing</t>
  </si>
  <si>
    <t>You/Eng</t>
  </si>
  <si>
    <t>Harmless; disable Pages in repo settings or fix the Jekyll build over docs/.</t>
  </si>
  <si>
    <t>Severity</t>
  </si>
  <si>
    <t>Area</t>
  </si>
  <si>
    <t>Description</t>
  </si>
  <si>
    <t>Resolution / notes</t>
  </si>
  <si>
    <t>B-15</t>
  </si>
  <si>
    <t>HIGH</t>
  </si>
  <si>
    <t>Onboarding→Net Worth</t>
  </si>
  <si>
    <t>Re-running onboarding never updates Net Worth accounts; stale balances drive retirement math</t>
  </si>
  <si>
    <t>fixed 2026-06-12</t>
  </si>
  <si>
    <t>B-16</t>
  </si>
  <si>
    <t>Onboarding restart</t>
  </si>
  <si>
    <t>restartOnboarding wiped ALL asset accounts/liabilities incl. user-created ones, contradicting its own comment</t>
  </si>
  <si>
    <t>Same origin-tag mechanism: restart clears only origin: 'onboarding' rows</t>
  </si>
  <si>
    <t>B-17</t>
  </si>
  <si>
    <t>LOW</t>
  </si>
  <si>
    <t>Income gate</t>
  </si>
  <si>
    <t>Gate is on source selection, not amounts — but $0 amounts still yield $0 income, so selection alone can't fabricate income</t>
  </si>
  <si>
    <t>by-design</t>
  </si>
  <si>
    <t>Verified harmless; gate correctly blocks the working-40yo future-SS leak both ways</t>
  </si>
  <si>
    <t>B-18</t>
  </si>
  <si>
    <t>MED</t>
  </si>
  <si>
    <t>Market data</t>
  </si>
  <si>
    <t>Network failure, invalid ticker, and malformed response all silently return null → stale cached prices shown with no staleness indicator, no retry, no ticker validation</t>
  </si>
  <si>
    <t>fixed 2026-06-13</t>
  </si>
  <si>
    <t>Performance screen shows price freshness ("updated Nh ago" / "⚠ may be out of date · tap Refresh" past ~4 days) + flags implausible tickers in the holding editor. (Offline-vs-invalid distinction is a deeper provider refactor, left noted.)</t>
  </si>
  <si>
    <t>B-19</t>
  </si>
  <si>
    <t>Net worth accuracy</t>
  </si>
  <si>
    <t>Position with a ticker missing from the price cache contributes $0 to account balance → silent net-worth understatement</t>
  </si>
  <si>
    <t>recomputeBalances falls back to costBasis(p) when the live price is absent, instead of $0</t>
  </si>
  <si>
    <t>B-20</t>
  </si>
  <si>
    <t>Goals capacity</t>
  </si>
  <si>
    <t>Negative capacity (invest &gt; surplus) — divide-by-negative risk in months-to-goal</t>
  </si>
  <si>
    <t>Verified guarded; negative capacity passes through for display but never divides</t>
  </si>
  <si>
    <t>B-21</t>
  </si>
  <si>
    <t>Onboarding seeding</t>
  </si>
  <si>
    <t>Explicit $0 answers for retirement savings / holdings created no account at all (vs. a $0 account the user could edit later)</t>
  </si>
  <si>
    <t>add now keys on field PRESENCE not value: an answered field (incl. explicit '0') seeds a $0 placeholder; an absent field (e.g. currentSavingsPortfolio in the accumulation flow) is still skipped. AssetSheet save relaxed to amt &gt;= 0 so $0 accounts can be added/kept. Assets only — liabilities/goals/income still drop $0 (a $0 placeholder there is clutter)</t>
  </si>
  <si>
    <t>B-22</t>
  </si>
  <si>
    <t>Retirement solver</t>
  </si>
  <si>
    <t>Suspected non-monotonic solveRetireAge results from per-iteration rounding</t>
  </si>
  <si>
    <t>closed — not a bug</t>
  </si>
  <si>
    <t>Probe ran across 6 balance levels (100k→3.2M): strictly monotonic; rounding happens only on outputs</t>
  </si>
  <si>
    <t>B-23</t>
  </si>
  <si>
    <t>Currency</t>
  </si>
  <si>
    <t>A Settings currency picker let users choose EUR/GBP/INR/etc., but all tax &amp; retirement math is hardcoded US (federal brackets, 401k/IRA/HSA limits, RMD age 73, 529s, single-filer) — picking a non-USD currency only swapped the symbol while still applying US tax math</t>
  </si>
  <si>
    <t>Removed the currency picker; app/_layout.tsx forces setMoneyFormat('USD','en-US') so a stale synced currency can't desync the formatter. Currency plumbing (money.ts/CURRENCIES/store fields/setCurrency) left dormant for a future per-country tax epic. The ~500 hardcoded $ and AmountText's USD hardcode are now correct, so untouched (avoids needless churn)</t>
  </si>
  <si>
    <t>B-24</t>
  </si>
  <si>
    <t>Budget/Goals consistency</t>
  </si>
  <si>
    <t>User states total spend AND itemizes part of it → month grid honored the full total, but projected_to_save (→ goal capacity) only saw the categorized part; goal pool overstated free cash by the uncategorized remainder</t>
  </si>
  <si>
    <t>monthly_spending: max(bucket total, monthlySpending) — budget surplus now equals the month-grid savings; goal capacity no longer overstated</t>
  </si>
  <si>
    <t>B-25</t>
  </si>
  <si>
    <t>Economic data</t>
  </si>
  <si>
    <t>Fallback inflation/treasury values (BLS/Treasury outage) carry no flag, so projections silently run on defaults and the UI can't label them as estimates</t>
  </si>
  <si>
    <t>Added per-source inflationIsFallback/treasuryIsFallback flags + exported FALLBACK_ constants. (fetchEconomicData isn't wired into the UI yet, so no live surface needed)</t>
  </si>
  <si>
    <t>B-28</t>
  </si>
  <si>
    <t>Goals/Plan tab</t>
  </si>
  <si>
    <t>"Typical free cash to save $17,250/mo" = income BEFORE spending; true free cash $2,250/mo</t>
  </si>
  <si>
    <t>Switched to savingsByMonth(op) (income − spend). Sim now shows negative lean months (impossible with the income grid), confirming the fix</t>
  </si>
  <si>
    <t>B-29</t>
  </si>
  <si>
    <t>Goals handoff</t>
  </si>
  <si>
    <t>Onboarding goals (2 set) never appear on Plan tab ("No goals yet"); Sharpen checklist nags "Add a goal"</t>
  </si>
  <si>
    <t>New seedGoals(op) store action (origin-tagged, seed-once via goalsSeeded, restart clears+re-seeds, manual goals preserved). Called at onboarding finish AND on Plan-tab mount. Verified live: Jane's Emergency fund $36k + House $45k now show</t>
  </si>
  <si>
    <t>B-30</t>
  </si>
  <si>
    <t>DTI guideline</t>
  </si>
  <si>
    <t>Mortgage holder graded with renter guideline (20% → "High" at 33% instead of homeowner 36%)</t>
  </si>
  <si>
    <t>New inferDebtType(label) maps Mortgage→MORTGAGE, Car→AUTO, Student→STUDENT_LOAN, etc.; GoalsScreen homeowner check now true for a mortgage → 36% guideline</t>
  </si>
  <si>
    <t>B-31</t>
  </si>
  <si>
    <t>Retirement handoff</t>
  </si>
  <si>
    <t>Cockpit computes with $0 guaranteed income and asks "Are you eligible?" although onboarding captured ri_ss $2,000 + ri_pension $1,500; pension never consumed at all; snapshot surfaces DO count it → contradictory advice ("keep saving $3,775/mo")</t>
  </si>
  <si>
    <t>Guaranteed default now retirementIncomeMonthly(op) (ss+pension+annuities…); unset eligibility falls back to that figure (only explicit "Not eligible" zeroes it); row relabeled "Social Security &amp; pension" and shows the amount "from your setup"</t>
  </si>
  <si>
    <t>B-32</t>
  </si>
  <si>
    <t>Retirement copy</t>
  </si>
  <si>
    <t>"You plan to spend $8,288/mo" — user said $15,000; Portugal COL ×0.6 applied silently on the cockpit</t>
  </si>
  <si>
    <t>Cockpit now shows "Adjusted for Portugal's cost of living (40% lower than the US)" when a recognized location moves the figure; US/factor-1 shows no note</t>
  </si>
  <si>
    <t>B-33</t>
  </si>
  <si>
    <t>Stress test</t>
  </si>
  <si>
    <t>Same screen said "$3,000 hit puts you in the red" AND "✓ you already have 3 months of essentials — strong cushion"</t>
  </si>
  <si>
    <t>monthlyEssentials falls back to max(bucket total, monthlySpending) when uncategorized; gapToFund now positive so the screen shows the real shortfall, not "strong cushion"</t>
  </si>
  <si>
    <t>B-34</t>
  </si>
  <si>
    <t>Income accuracy</t>
  </si>
  <si>
    <t>IncomeState salary = max(salaryByMonth)×12 — six $0 months ignored → Home take-home, IncomeDetail gross/net, Budget projected_to_save, and one-pool goal capacity all overstated (~$60k/yr gross for Jane); tax organizer &amp; bill calendar use the true table → screens contradict</t>
  </si>
  <si>
    <t>Booked salaryAnnual(op)/12 (and tipsAnnual(op)/12) as MONTHLY so the total equals the real table sum and matches totalGrossAnnual; employer-match annualization preserved. Verified: Jane IncomeState 336,510 → 276,510 = totalGrossAnnual</t>
  </si>
  <si>
    <t>B-35</t>
  </si>
  <si>
    <t>Tax organizer</t>
  </si>
  <si>
    <t>2026 taxable income included $42,000 SS/pension the (non-retired) user does not receive — the SS-leak gate was bypassed on this screen</t>
  </si>
  <si>
    <t>Switched to currentRetirementIncomeMonthly (same gate as the rest of the app); working person's taxable total unchanged by future SS, retiree still reports it</t>
  </si>
  <si>
    <t>B-36</t>
  </si>
  <si>
    <t>Tool prefills</t>
  </si>
  <si>
    <t>Insurance check (savings/assets $0 → "$3.5M gap" for a 74yo with $1.75M), Roth converter (pre-tax $0 despite known $250k; misleading zero-state message)</t>
  </si>
  <si>
    <t>Insurance prefills savings/assets from investableValue; Roth pre-tax balance filter fixed PRE_TAX (was a non-existent 'RETIREMENT' bucket → always $0)</t>
  </si>
  <si>
    <t>B-37</t>
  </si>
  <si>
    <t>Retirement framing</t>
  </si>
  <si>
    <t>Retiree cockpit showed accumulation framing ("Grow my nest egg · assumes age 65") for a retired 74yo, contradicting Home's "drawdown" focus</t>
  </si>
  <si>
    <t>Retiree's retire-age default is now their current age (not 65); plan divider shows "in retirement" and the return label "Assumed return on what's left" when retired. (Drawdown heroes/section already gated on isRetired.)</t>
  </si>
  <si>
    <t>B-38</t>
  </si>
  <si>
    <t>Retirement realism</t>
  </si>
  <si>
    <t>RMDs (forced withdrawals age 73+) are computed in decumulation but simulate() never forces them — post-73 mandatory withdrawals &amp; their tax drag aren't modeled in the Monte Carlo</t>
  </si>
  <si>
    <t>fixed (transparency) 2026-06-13</t>
  </si>
  <si>
    <t>The drawdown view already shows RMDs ($/yr from age 73, "taxed whether you need it or not"); added that the success-chance figure tracks balances BEFORE tax, so set aside for the tax. (Modeling RMD tax inside the MC needs a retirement-tax-rate assumption — deferred to avoid churn in a sensitive engine.)</t>
  </si>
  <si>
    <t>B-39</t>
  </si>
  <si>
    <t>Retirement projection ignores liabilities — it implicitly assumes debt-free at retirement; a user with a mortgage sees an over-optimistic "needed"</t>
  </si>
  <si>
    <t>screens_deep.test.tsx "user with debt sees the note". A user with debt is now told the projection assumes debt is covered within spending — include an ongoing mortgage payment in the spend figure (rather than silently assuming debt-free).</t>
  </si>
  <si>
    <t>B-40</t>
  </si>
  <si>
    <t>Edit-back coupling</t>
  </si>
  <si>
    <t>Income/cashflow read raw onboardingProfile, so editing income after onboarding doesn't reflect unless the edit writes back into op — Net Worth/Budget edits write their own store arrays that income/cashflow don't read</t>
  </si>
  <si>
    <t>IncomeManager writes edits back to onboardingProfile (verified); fixed the concrete gap where editing base pay to a flat amount left a per-month salary table in place (table takes precedence → edit was silently ignored) — now clears salaryByMonth</t>
  </si>
  <si>
    <t>B-41</t>
  </si>
  <si>
    <t>Goals feedback</t>
  </si>
  <si>
    <t>goals.waterfall() recommends a funding order but nothing records what actually got funded — suggestion-only, no feedback loop</t>
  </si>
  <si>
    <t>Verified 2026-06-13: waterfall() is defined+tested but NOT imported/rendered by any screen, so there is no user-facing "suggestion without feedback" gap. Available for future use</t>
  </si>
  <si>
    <t>B-42</t>
  </si>
  <si>
    <t>Legacy field</t>
  </si>
  <si>
    <t>Legacy debts array still present in store (useStore.ts:208,395) alongside canonical liabilities; @deprecated + migration landing, not yet removed</t>
  </si>
  <si>
    <t>deferred</t>
  </si>
  <si>
    <t>Not a user-facing bug: @deprecated, unsynced, and BudgetScreen migrates it into liabilities on mount. It IS the migration landing spot — removing it now would drop legacy data and benefits nobody. Remove post-launch once no legacy data exists</t>
  </si>
  <si>
    <t>B-43</t>
  </si>
  <si>
    <t>Transaction UI</t>
  </si>
  <si>
    <t>TransactionSheet account chips render identically when two accounts share a name (no kind/last-4 disambiguator)</t>
  </si>
  <si>
    <t>Transaction-sheet chips append the asset kind (or id last-4) when two accounts share a name; smoke-rendered</t>
  </si>
  <si>
    <t>B-44</t>
  </si>
  <si>
    <t>Copy</t>
  </si>
  <si>
    <t>"Your cash covers about 0.0 months of spending" reads robotically and alarms a user with large liquid investments but $0 in a cash bucket</t>
  </si>
  <si>
    <t>Insights + Net Worth runway say "No cash set aside" at ~0 and note investments aren't counted</t>
  </si>
  <si>
    <t>B-45</t>
  </si>
  <si>
    <t>"86% of your portfolio is a single position" — it's a single account, not a holding</t>
  </si>
  <si>
    <t>Retitled "Concentrated in one account"; topHoldingPct→topAccountPct; body says add holdings + spread across accounts</t>
  </si>
  <si>
    <t>B-46</t>
  </si>
  <si>
    <t>Tips screen "This month at a glance: Income $0.00" contradicts a declared-$276k user; also uses cents against the app-wide whole-dollar style</t>
  </si>
  <si>
    <t>Added "From what you've logged this month — not your full income or budget" subtitle</t>
  </si>
  <si>
    <t>B-47</t>
  </si>
  <si>
    <t>Student's $400/mo parental support labeled "Child support / alimony" in the income manager</t>
  </si>
  <si>
    <t>Verified 2026-06-13: label is consistent with the question; the persona fixture mis-used the field. (Minor future enhancement: a dedicated "family/parental support" field — not a defect)</t>
  </si>
  <si>
    <t>B-48</t>
  </si>
  <si>
    <t>"Room left in your 401(k)" nudge shown to users with no earned income (retiree, gig)</t>
  </si>
  <si>
    <t>Added hasEarnedIncome (salaryAnnual &gt; 0) gate to the rule</t>
  </si>
  <si>
    <t>B-49</t>
  </si>
  <si>
    <t>MED-HIGH</t>
  </si>
  <si>
    <t>Cross-module: assets basis</t>
  </si>
  <si>
    <t>buildSnapshot derives net worth + retirement start_balance from assetsFromOnboarding(op) (onboarding answers), but the Net Worth screen, TopBar chip, and Retirement cockpit use the LIVE store.assetAccounts. After any account add/edit/delete, the two bases diverge — Home's "Net worth · see all plans" (op) ≠ TopBar chip (accounts); Home retirement outlook (op) ≠ cockpit nest egg (accounts)</t>
  </si>
  <si>
    <t>fixed 2026-06-20 (verified)</t>
  </si>
  <si>
    <t>RESOLVED by the resolveNetWorthRows refactor: buildSnapshot now REQUIRES explicit account/liability rows (no silent op fallback), and Home, TopBar, and the Retirement cockpit all derive rows from resolveNetWorthRows (live store accounts once seeded/non-empty; nest egg = retirementEarmarkedValue of those same rows). One basis everywhere. Locked by tests: home_integration.test.ts, journeys.test.ts (B-49), portfolio_usecases.test.ts (nest-egg basis), invariants.test.ts (retirement starts from the same total the NW chip shows).</t>
  </si>
  <si>
    <t>B-50</t>
  </si>
  <si>
    <t>Cross-module: emergency runway</t>
  </si>
  <si>
    <t>The emergency-fund runway ("cash covers X months") uses spendBuckets.monthly_total</t>
  </si>
  <si>
    <t>InsightsScreen.tsx:26 + NetWorthScreen.tsx:70 use the old bucket\</t>
  </si>
  <si>
    <t>\</t>
  </si>
  <si>
    <t>B-51</t>
  </si>
  <si>
    <t>Cross-module: toxic-debt threshold</t>
  </si>
  <si>
    <t>"High-interest/toxic debt" is defined with 3 thresholds: insights "toxic-debt" rule fires at APR &gt; 10% (InsightsScreen.tsx:36), but the debt module's toxic_debt_balance and the Net Worth "costliest" use &gt; 7% (debt/index.ts:124, NetWorthScreen.tsx:80). An 8% debt is flagged toxic in Net Worth + counted in toxic_debt_balance, yet the Home "tackle high-interest debt" insight stays silent</t>
  </si>
  <si>
    <t>Exported TOXIC_APR (0.07) from debt module; Insights + Net Worth now import it (was a hardcoded 0.10 in Insights). One threshold everywhere</t>
  </si>
  <si>
    <t>B-52</t>
  </si>
  <si>
    <t>LOW-MED</t>
  </si>
  <si>
    <t>Cross-module: "savings rate"</t>
  </si>
  <si>
    <t>Two different numbers carry the name "savings rate": budget savings_rate_pct = (net income − spending)/net income (21.9% for the audit persona), while the insight's savingsRate = retirement contributions/gross (8.75%). Same term, ~2.5× apart → confusing</t>
  </si>
  <si>
    <t>fixed 2026-06-20</t>
  </si>
  <si>
    <t>Disambiguated: the Insights metric was renamed savingsRate→investRate and now reads "investing X% of your gross income toward retirement" (insights/index.ts invest-rate rule). The Analytics "Savings rate" stat is now labelled "Savings rate (of take-home)" with a caption ("Share of your take-home pay you keep; investing as a % of gross is shown in Insights"), and the avg / by-month labels say "(take-home)". Two clearly distinct numbers, two clearly distinct labels.</t>
  </si>
  <si>
    <t>B-53</t>
  </si>
  <si>
    <t>CRITICAL</t>
  </si>
  <si>
    <t>Security</t>
  </si>
  <si>
    <t>Firestore rules let ANY signed-in user read/write ANY other user's data: isHouseholdMember(victim) only checked the caller's own doc householdId == victim, and a user can write their own doc freely → setting householdId=&lt;victimUID&gt; self-granted full access. Invite-code gate existed only in client code, not rules</t>
  </si>
  <si>
    <t>fixed + DEPLOYED 2026-06-17</t>
  </si>
  <si>
    <t>Grant now owner-side + invite-bound: join via households/{owner}/members/{me} carrying a code the rules verify; access gated on that member doc. 8/8 emulator tests; deployed to finwise-app-jj</t>
  </si>
  <si>
    <t>B-54</t>
  </si>
  <si>
    <t>Cross-module: nest egg</t>
  </si>
  <si>
    <t>Retirement cockpit showed $0 nest egg despite $2.5M net worth — read empty legacy store.savings/store.investments arrays instead of the seeded earmarked accounts the Home NW box uses (a 3rd assets source; cousin of B-49)</t>
  </si>
  <si>
    <t>fixed 2026-06-17 (ba999c1)</t>
  </si>
  <si>
    <t>Cockpit now reads resolveNetWorthRows(uid, op, nwSeeded, assetAccounts, liabilities).accounts → retirementEarmarkedValue(...), same seeded source as Home</t>
  </si>
  <si>
    <t>B-55</t>
  </si>
  <si>
    <t>Income/tax</t>
  </si>
  <si>
    <t>Onboarding cash-flow recap (retired) used gross retirement income ($24,333) while the spending-plan step used take-home ($18,889); "left over" computed off pre-tax → screens disagreed</t>
  </si>
  <si>
    <t>monthlyIncome(a) (gross first) vs spending plan's net-first</t>
  </si>
  <si>
    <t>retired-persona test 2026-06-17</t>
  </si>
  <si>
    <t>B-56</t>
  </si>
  <si>
    <t>Retirement</t>
  </si>
  <si>
    <t>Legacy bequest (the "leave to heirs" target) was ignored in the drawdown — "will it last" drew down the full nest egg, not the spendable remainder</t>
  </si>
  <si>
    <t>New spendableEgg = max(0, nestEgg − legacyTarget) threaded into the retired chance/withdrawal/depletion calcs; verdict shows the reserve</t>
  </si>
  <si>
    <t>B-57</t>
  </si>
  <si>
    <t>Build / native</t>
  </si>
  <si>
    <t>react-native-worklets peer dep missing (required by reanimated v4) → app can crash outside Expo Go, i.e. in the TestFlight/production build (passes in dev)</t>
  </si>
  <si>
    <t>fixed 2026-06-17 (a99e2aa)</t>
  </si>
  <si>
    <t>npx expo install react-native-worklets (0.8.3); babel-preset-expo auto-wires the plugin</t>
  </si>
  <si>
    <t>B-58</t>
  </si>
  <si>
    <t>Retirement / decumulation</t>
  </si>
  <si>
    <t>Suggested withdrawal order was static, not RMD-aware — withdrawalOrder(split) ignored age, listing pre-tax last even for an 80-year-old whom RMDs legally force to withdraw from pre-tax FIRST</t>
  </si>
  <si>
    <t>fixed 2026-06-17</t>
  </si>
  <si>
    <t>Added age param; for age≥73 with pre-tax, prepends a mandatory RMD step (amount = rmdAtAge), pre-tax step relabeled "the rest"; under-73 unchanged</t>
  </si>
  <si>
    <t>B-59</t>
  </si>
  <si>
    <t>Copy (age-blind)</t>
  </si>
  <si>
    <t>Retirement "Heads-up" copy was static &amp; ignored age — "Medicare starts at 65" shown to an 80-year-old; RMD note said "start at 73 / first year" for someone a decade past RMD age</t>
  </si>
  <si>
    <t>Copy now branches on age: ≥65 → "you're on Medicare … watch IRMAA"; ≥73 → "RMDs apply now — you must withdraw ~$X this year". (Pattern flag: audit other screens for age-blind static copy)</t>
  </si>
  <si>
    <t>B-60</t>
  </si>
  <si>
    <t>Data loss: assets balance</t>
  </si>
  <si>
    <t>Adding one holding to a manual-balance account to track its performance collapsed the whole account to that one holding — a ~$2.2M Fidelity total dropped to $179k (the single stock) after a price refresh. Any account with ≥1 position was treated as fully position-derived</t>
  </si>
  <si>
    <t>cash_balance!=null, then overwrote balance = cash + Σpositions</t>
  </si>
  <si>
    <t>store_prices.test.ts "manual-balance account with a partially-tracked holding (B-60)" (3 cases)</t>
  </si>
  <si>
    <t>B-61</t>
  </si>
  <si>
    <t>UX / discoverability</t>
  </si>
  <si>
    <t>Tax organizer buried deep in the Plan-screen module grid despite being a critical feature for many users</t>
  </si>
  <si>
    <t>fixed 2026-06-18 (dd506fe)</t>
  </si>
  <si>
    <t>Added a global Tax organizer chip stacked under the NW chip in TopBar — visible on every tab page; equal-sized to the NW chip. TopBar.test.tsx covers its navigation</t>
  </si>
  <si>
    <t>B-62</t>
  </si>
  <si>
    <t>UX / layout</t>
  </si>
  <si>
    <t>Bill calendar was a standalone card on Home, separate from the quick-action "focus" box</t>
  </si>
  <si>
    <t>Moved Bill calendar into the persona focus box (all personas); removed the standalone card</t>
  </si>
  <si>
    <t>B-63</t>
  </si>
  <si>
    <t>Retire drawdown showed "Where your money sits" and "Suggested withdrawal order" as two separate cards</t>
  </si>
  <si>
    <t>Combined into one card split by a divider</t>
  </si>
  <si>
    <t>B-64</t>
  </si>
  <si>
    <t>Transparency</t>
  </si>
  <si>
    <t>Retire "Suggested withdrawal order" showed an RMD of ~$26K with no derivation; steps 2–4 showed full bucket balances, so a user couldn't tell where $26K came from or whether it double-counted the pre-tax bucket</t>
  </si>
  <si>
    <t>RMD step now shows "= your $X pre-tax ÷ &lt;IRS life-expectancy factor&gt; at age N" + a note that the bucket amounts are balances while the RMD is just this-year's required slice of pre-tax (not money on top)</t>
  </si>
  <si>
    <t>B-65</t>
  </si>
  <si>
    <t>UI layout</t>
  </si>
  <si>
    <t>Retire "Your investments" table — the "Your 12-mo" and "Benchmark" column headers had no gap and ran together</t>
  </si>
  <si>
    <t>Added gap:14 to the header + data rows so the two numeric columns separate</t>
  </si>
  <si>
    <t>B-66</t>
  </si>
  <si>
    <t>Net Worth — "Portfolio performance", "Bonds", "Other investments" rendered as three loose cards floating mid-screen, feeling out of place</t>
  </si>
  <si>
    <t>Grouped into one "Explore your holdings" box with dividers</t>
  </si>
  <si>
    <t>Detail</t>
  </si>
  <si>
    <t>Zero-knowledge cloud encryption</t>
  </si>
  <si>
    <t>Shipped</t>
  </si>
  <si>
    <t>Financial data AES-256 encrypted on-device (password-derived key, never sent) before sync; Firestore stores only ciphertext.</t>
  </si>
  <si>
    <t>Recovery code</t>
  </si>
  <si>
    <t>Wrapped-key model; unlocks data after a forgotten-password reset, re-locks under new password. Shown at signup; regenerate in Settings.</t>
  </si>
  <si>
    <t>In-app account deletion</t>
  </si>
  <si>
    <t>Compliance</t>
  </si>
  <si>
    <t>Settings -&gt; Delete account (re-auth -&gt; wipes Firestore + Auth). App Store 5.1.1(v).</t>
  </si>
  <si>
    <t>Biometric app lock</t>
  </si>
  <si>
    <t>Face ID / Touch ID / passcode + 2-min background auto-relock; Settings toggle.</t>
  </si>
  <si>
    <t>Apple Privacy Manifest</t>
  </si>
  <si>
    <t>ios.privacyManifests — no tracking; data types declared.</t>
  </si>
  <si>
    <t>Hardened auth</t>
  </si>
  <si>
    <t>Removed plaintext-password store; anti-enumeration messaging.</t>
  </si>
  <si>
    <t>AI provider key moved server-side</t>
  </si>
  <si>
    <t>Anthropic/Vision keys no longer bundled; configurable proxy (functions/aiTips).</t>
  </si>
  <si>
    <t>Accessibility labels (start)</t>
  </si>
  <si>
    <t>Screen-reader labels on shared controls, tab bar, TopBar, Home, back button; 44pt targets.</t>
  </si>
  <si>
    <t>Formal QA suite + CI fix</t>
  </si>
  <si>
    <t>Quality</t>
  </si>
  <si>
    <t>587 tests incl. golden scenarios + precision guards; CI green (Java 21 fix for the rules job).</t>
  </si>
  <si>
    <t>RN secure-random fix</t>
  </si>
  <si>
    <t>react-native-get-random-values polyfill so CryptoJS works on-device (signup crash fix); makes local encryption actually take too.</t>
  </si>
  <si>
    <t>B-49 assets-basis divergence</t>
  </si>
  <si>
    <t>Bug fix</t>
  </si>
  <si>
    <t>Fixed</t>
  </si>
  <si>
    <t>All surfaces use resolveNetWorthRows -&gt; one net-worth/nest-egg basis; locked by tests.</t>
  </si>
  <si>
    <t>B-52 'savings rate' ambiguity</t>
  </si>
  <si>
    <t>Insight = 'investing % of gross'; Analytics = 'Savings rate (of take-home)' + caption.</t>
  </si>
  <si>
    <t>TestFlight build v1.0.1 (#22)</t>
  </si>
  <si>
    <t>Done</t>
  </si>
  <si>
    <t>Built on EAS + auto-submitted to TestFlight 2026-06-20.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</si>
</sst>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5F"/>
        <bgColor indexed="64"/>
      </patternFill>
    </fill>
    <fill>
      <patternFill patternType="solid">
        <fgColor rgb="FFF8CBCB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D9EAD3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2" fillId="5" borderId="2" xfId="0" applyFont="1" applyFill="1" applyBorder="1" applyAlignment="1">
      <alignment vertical="top" wrapText="1"/>
    </xf>
    <xf numFmtId="0" fontId="2" fillId="6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C00000"/>
  </sheetPr>
  <dimension ref="A1:G2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6.7109375" customWidth="1"/>
    <col min="3" max="3" width="46.7109375" customWidth="1"/>
    <col min="4" max="4" width="15.7109375" customWidth="1"/>
    <col min="5" max="5" width="13.7109375" customWidth="1"/>
    <col min="6" max="6" width="12.7109375" customWidth="1"/>
    <col min="7" max="7" width="60.7109375" customWidth="1"/>
  </cols>
  <sheetData>
    <row r="1" spans="1:7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3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14</v>
      </c>
      <c r="B3" s="2" t="s">
        <v>8</v>
      </c>
      <c r="C3" s="2" t="s">
        <v>15</v>
      </c>
      <c r="D3" s="3" t="s">
        <v>10</v>
      </c>
      <c r="E3" s="2" t="s">
        <v>11</v>
      </c>
      <c r="F3" s="2" t="s">
        <v>16</v>
      </c>
      <c r="G3" s="2" t="s">
        <v>17</v>
      </c>
    </row>
    <row r="4" spans="1:7">
      <c r="A4" s="2" t="s">
        <v>18</v>
      </c>
      <c r="B4" s="2" t="s">
        <v>8</v>
      </c>
      <c r="C4" s="2" t="s">
        <v>19</v>
      </c>
      <c r="D4" s="3" t="s">
        <v>10</v>
      </c>
      <c r="E4" s="2" t="s">
        <v>11</v>
      </c>
      <c r="F4" s="2" t="s">
        <v>16</v>
      </c>
      <c r="G4" s="2" t="s">
        <v>20</v>
      </c>
    </row>
    <row r="5" spans="1:7">
      <c r="A5" s="2" t="s">
        <v>21</v>
      </c>
      <c r="B5" s="2" t="s">
        <v>8</v>
      </c>
      <c r="C5" s="2" t="s">
        <v>22</v>
      </c>
      <c r="D5" s="3" t="s">
        <v>10</v>
      </c>
      <c r="E5" s="2" t="s">
        <v>11</v>
      </c>
      <c r="F5" s="2" t="s">
        <v>16</v>
      </c>
      <c r="G5" s="2" t="s">
        <v>23</v>
      </c>
    </row>
    <row r="6" spans="1:7">
      <c r="A6" s="2" t="s">
        <v>24</v>
      </c>
      <c r="B6" s="2" t="s">
        <v>8</v>
      </c>
      <c r="C6" s="2" t="s">
        <v>25</v>
      </c>
      <c r="D6" s="3" t="s">
        <v>26</v>
      </c>
      <c r="E6" s="2" t="s">
        <v>27</v>
      </c>
      <c r="F6" s="2" t="s">
        <v>16</v>
      </c>
      <c r="G6" s="2" t="s">
        <v>28</v>
      </c>
    </row>
    <row r="7" spans="1:7">
      <c r="A7" s="2" t="s">
        <v>29</v>
      </c>
      <c r="B7" s="2" t="s">
        <v>30</v>
      </c>
      <c r="C7" s="2" t="s">
        <v>31</v>
      </c>
      <c r="D7" s="4" t="s">
        <v>32</v>
      </c>
      <c r="E7" s="2" t="s">
        <v>11</v>
      </c>
      <c r="F7" s="2" t="s">
        <v>33</v>
      </c>
      <c r="G7" s="2" t="s">
        <v>34</v>
      </c>
    </row>
    <row r="8" spans="1:7">
      <c r="A8" s="2" t="s">
        <v>35</v>
      </c>
      <c r="B8" s="2" t="s">
        <v>30</v>
      </c>
      <c r="C8" s="2" t="s">
        <v>36</v>
      </c>
      <c r="D8" s="5" t="s">
        <v>37</v>
      </c>
      <c r="E8" s="2" t="s">
        <v>11</v>
      </c>
      <c r="F8" s="2" t="s">
        <v>33</v>
      </c>
      <c r="G8" s="2" t="s">
        <v>38</v>
      </c>
    </row>
    <row r="9" spans="1:7">
      <c r="A9" s="2" t="s">
        <v>39</v>
      </c>
      <c r="B9" s="2" t="s">
        <v>30</v>
      </c>
      <c r="C9" s="2" t="s">
        <v>40</v>
      </c>
      <c r="D9" s="5" t="s">
        <v>37</v>
      </c>
      <c r="E9" s="2" t="s">
        <v>11</v>
      </c>
      <c r="F9" s="2" t="s">
        <v>33</v>
      </c>
      <c r="G9" s="2" t="s">
        <v>41</v>
      </c>
    </row>
    <row r="10" spans="1:7">
      <c r="A10" s="2" t="s">
        <v>42</v>
      </c>
      <c r="B10" s="2" t="s">
        <v>30</v>
      </c>
      <c r="C10" s="2" t="s">
        <v>43</v>
      </c>
      <c r="D10" s="4" t="s">
        <v>32</v>
      </c>
      <c r="E10" s="2" t="s">
        <v>11</v>
      </c>
      <c r="F10" s="2" t="s">
        <v>12</v>
      </c>
      <c r="G10" s="2" t="s">
        <v>44</v>
      </c>
    </row>
    <row r="11" spans="1:7">
      <c r="A11" s="2" t="s">
        <v>45</v>
      </c>
      <c r="B11" s="2" t="s">
        <v>30</v>
      </c>
      <c r="C11" s="2" t="s">
        <v>46</v>
      </c>
      <c r="D11" s="5" t="s">
        <v>37</v>
      </c>
      <c r="E11" s="2" t="s">
        <v>11</v>
      </c>
      <c r="F11" s="2" t="s">
        <v>33</v>
      </c>
      <c r="G11" s="2" t="s">
        <v>47</v>
      </c>
    </row>
    <row r="12" spans="1:7">
      <c r="A12" s="2" t="s">
        <v>48</v>
      </c>
      <c r="B12" s="2" t="s">
        <v>49</v>
      </c>
      <c r="C12" s="2" t="s">
        <v>50</v>
      </c>
      <c r="D12" s="4" t="s">
        <v>32</v>
      </c>
      <c r="E12" s="2" t="s">
        <v>11</v>
      </c>
      <c r="F12" s="2" t="s">
        <v>51</v>
      </c>
      <c r="G12" s="2" t="s">
        <v>52</v>
      </c>
    </row>
    <row r="13" spans="1:7">
      <c r="A13" s="2" t="s">
        <v>53</v>
      </c>
      <c r="B13" s="2" t="s">
        <v>49</v>
      </c>
      <c r="C13" s="2" t="s">
        <v>54</v>
      </c>
      <c r="D13" s="5" t="s">
        <v>37</v>
      </c>
      <c r="E13" s="2" t="s">
        <v>11</v>
      </c>
      <c r="F13" s="2" t="s">
        <v>55</v>
      </c>
      <c r="G13" s="2"/>
    </row>
    <row r="14" spans="1:7">
      <c r="A14" s="2" t="s">
        <v>56</v>
      </c>
      <c r="B14" s="2" t="s">
        <v>49</v>
      </c>
      <c r="C14" s="2" t="s">
        <v>57</v>
      </c>
      <c r="D14" s="5" t="s">
        <v>37</v>
      </c>
      <c r="E14" s="2" t="s">
        <v>11</v>
      </c>
      <c r="F14" s="2" t="s">
        <v>33</v>
      </c>
      <c r="G14" s="2" t="s">
        <v>58</v>
      </c>
    </row>
    <row r="15" spans="1:7">
      <c r="A15" s="2" t="s">
        <v>59</v>
      </c>
      <c r="B15" s="2" t="s">
        <v>49</v>
      </c>
      <c r="C15" s="2" t="s">
        <v>60</v>
      </c>
      <c r="D15" s="5" t="s">
        <v>37</v>
      </c>
      <c r="E15" s="2" t="s">
        <v>11</v>
      </c>
      <c r="F15" s="2" t="s">
        <v>55</v>
      </c>
      <c r="G15" s="2"/>
    </row>
    <row r="16" spans="1:7">
      <c r="A16" s="2" t="s">
        <v>61</v>
      </c>
      <c r="B16" s="2" t="s">
        <v>62</v>
      </c>
      <c r="C16" s="2" t="s">
        <v>63</v>
      </c>
      <c r="D16" s="4" t="s">
        <v>32</v>
      </c>
      <c r="E16" s="2" t="s">
        <v>11</v>
      </c>
      <c r="F16" s="2" t="s">
        <v>33</v>
      </c>
      <c r="G16" s="2" t="s">
        <v>64</v>
      </c>
    </row>
    <row r="17" spans="1:7">
      <c r="A17" s="2" t="s">
        <v>65</v>
      </c>
      <c r="B17" s="2" t="s">
        <v>62</v>
      </c>
      <c r="C17" s="2" t="s">
        <v>66</v>
      </c>
      <c r="D17" s="5" t="s">
        <v>37</v>
      </c>
      <c r="E17" s="2" t="s">
        <v>11</v>
      </c>
      <c r="F17" s="2" t="s">
        <v>33</v>
      </c>
      <c r="G17" s="2" t="s">
        <v>67</v>
      </c>
    </row>
    <row r="18" spans="1:7">
      <c r="A18" s="2" t="s">
        <v>68</v>
      </c>
      <c r="B18" s="2" t="s">
        <v>62</v>
      </c>
      <c r="C18" s="2" t="s">
        <v>69</v>
      </c>
      <c r="D18" s="4" t="s">
        <v>32</v>
      </c>
      <c r="E18" s="2" t="s">
        <v>11</v>
      </c>
      <c r="F18" s="2" t="s">
        <v>33</v>
      </c>
      <c r="G18" s="2"/>
    </row>
    <row r="19" spans="1:7">
      <c r="A19" s="2" t="s">
        <v>70</v>
      </c>
      <c r="B19" s="2" t="s">
        <v>62</v>
      </c>
      <c r="C19" s="2" t="s">
        <v>71</v>
      </c>
      <c r="D19" s="5" t="s">
        <v>37</v>
      </c>
      <c r="E19" s="2" t="s">
        <v>11</v>
      </c>
      <c r="F19" s="2" t="s">
        <v>33</v>
      </c>
      <c r="G19" s="2" t="s">
        <v>72</v>
      </c>
    </row>
    <row r="20" spans="1:7">
      <c r="A20" s="2" t="s">
        <v>73</v>
      </c>
      <c r="B20" s="2" t="s">
        <v>62</v>
      </c>
      <c r="C20" s="2" t="s">
        <v>74</v>
      </c>
      <c r="D20" s="4" t="s">
        <v>32</v>
      </c>
      <c r="E20" s="2" t="s">
        <v>11</v>
      </c>
      <c r="F20" s="2" t="s">
        <v>33</v>
      </c>
      <c r="G20" s="2"/>
    </row>
    <row r="21" spans="1:7">
      <c r="A21" s="2" t="s">
        <v>75</v>
      </c>
      <c r="B21" s="2" t="s">
        <v>62</v>
      </c>
      <c r="C21" s="2" t="s">
        <v>76</v>
      </c>
      <c r="D21" s="5" t="s">
        <v>37</v>
      </c>
      <c r="E21" s="2" t="s">
        <v>11</v>
      </c>
      <c r="F21" s="2" t="s">
        <v>33</v>
      </c>
      <c r="G21" s="2" t="s">
        <v>77</v>
      </c>
    </row>
    <row r="22" spans="1:7">
      <c r="A22" s="2" t="s">
        <v>78</v>
      </c>
      <c r="B22" s="2" t="s">
        <v>62</v>
      </c>
      <c r="C22" s="2" t="s">
        <v>79</v>
      </c>
      <c r="D22" s="5" t="s">
        <v>37</v>
      </c>
      <c r="E22" s="2" t="s">
        <v>11</v>
      </c>
      <c r="F22" s="2" t="s">
        <v>33</v>
      </c>
      <c r="G22" s="2" t="s">
        <v>80</v>
      </c>
    </row>
    <row r="23" spans="1:7">
      <c r="A23" s="2" t="s">
        <v>81</v>
      </c>
      <c r="B23" s="2" t="s">
        <v>62</v>
      </c>
      <c r="C23" s="2" t="s">
        <v>82</v>
      </c>
      <c r="D23" s="5" t="s">
        <v>37</v>
      </c>
      <c r="E23" s="2" t="s">
        <v>11</v>
      </c>
      <c r="F23" s="2" t="s">
        <v>33</v>
      </c>
      <c r="G23" s="2"/>
    </row>
    <row r="24" spans="1:7">
      <c r="A24" s="2" t="s">
        <v>83</v>
      </c>
      <c r="B24" s="2" t="s">
        <v>62</v>
      </c>
      <c r="C24" s="2" t="s">
        <v>84</v>
      </c>
      <c r="D24" s="5" t="s">
        <v>37</v>
      </c>
      <c r="E24" s="2" t="s">
        <v>11</v>
      </c>
      <c r="F24" s="2" t="s">
        <v>33</v>
      </c>
      <c r="G24" s="2"/>
    </row>
    <row r="25" spans="1:7">
      <c r="A25" s="2" t="s">
        <v>85</v>
      </c>
      <c r="B25" s="2" t="s">
        <v>86</v>
      </c>
      <c r="C25" s="2" t="s">
        <v>87</v>
      </c>
      <c r="D25" s="5" t="s">
        <v>37</v>
      </c>
      <c r="E25" s="2" t="s">
        <v>11</v>
      </c>
      <c r="F25" s="2" t="s">
        <v>55</v>
      </c>
      <c r="G25" s="2"/>
    </row>
    <row r="26" spans="1:7">
      <c r="A26" s="2" t="s">
        <v>88</v>
      </c>
      <c r="B26" s="2" t="s">
        <v>86</v>
      </c>
      <c r="C26" s="2" t="s">
        <v>89</v>
      </c>
      <c r="D26" s="5" t="s">
        <v>37</v>
      </c>
      <c r="E26" s="2" t="s">
        <v>11</v>
      </c>
      <c r="F26" s="2" t="s">
        <v>55</v>
      </c>
      <c r="G26" s="2"/>
    </row>
    <row r="27" spans="1:7">
      <c r="A27" s="2" t="s">
        <v>90</v>
      </c>
      <c r="B27" s="2" t="s">
        <v>91</v>
      </c>
      <c r="C27" s="2" t="s">
        <v>92</v>
      </c>
      <c r="D27" s="5" t="s">
        <v>37</v>
      </c>
      <c r="E27" s="2" t="s">
        <v>11</v>
      </c>
      <c r="F27" s="2" t="s">
        <v>93</v>
      </c>
      <c r="G27" s="2" t="s">
        <v>94</v>
      </c>
    </row>
  </sheetData>
  <autoFilter ref="A1:G2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4E5F"/>
  </sheetPr>
  <dimension ref="A1:F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3" width="22.7109375" customWidth="1"/>
    <col min="4" max="4" width="60.7109375" customWidth="1"/>
    <col min="5" max="5" width="16.7109375" customWidth="1"/>
    <col min="6" max="6" width="60.7109375" customWidth="1"/>
  </cols>
  <sheetData>
    <row r="1" spans="1:6" ht="28" customHeight="1">
      <c r="A1" s="1" t="s">
        <v>0</v>
      </c>
      <c r="B1" s="1" t="s">
        <v>95</v>
      </c>
      <c r="C1" s="1" t="s">
        <v>96</v>
      </c>
      <c r="D1" s="1" t="s">
        <v>97</v>
      </c>
      <c r="E1" s="1" t="s">
        <v>4</v>
      </c>
      <c r="F1" s="1" t="s">
        <v>98</v>
      </c>
    </row>
    <row r="2" spans="1:6">
      <c r="A2" s="2" t="s">
        <v>99</v>
      </c>
      <c r="B2" s="2" t="s">
        <v>100</v>
      </c>
      <c r="C2" s="2" t="s">
        <v>101</v>
      </c>
      <c r="D2" s="2" t="s">
        <v>102</v>
      </c>
      <c r="E2" s="6" t="s">
        <v>103</v>
      </c>
      <c r="F2" s="2">
        <f> user-test feedback #15. Fixed via origin-tagged merge: seeded rows carry origin: 'onboarding'; re-seed replaces only those, manual accounts never touched, legacy untagged rows deduped by label+bucket</f>
        <v>0</v>
      </c>
    </row>
    <row r="3" spans="1:6">
      <c r="A3" s="2" t="s">
        <v>104</v>
      </c>
      <c r="B3" s="2" t="s">
        <v>100</v>
      </c>
      <c r="C3" s="2" t="s">
        <v>105</v>
      </c>
      <c r="D3" s="2" t="s">
        <v>106</v>
      </c>
      <c r="E3" s="6" t="s">
        <v>103</v>
      </c>
      <c r="F3" s="2" t="s">
        <v>107</v>
      </c>
    </row>
    <row r="4" spans="1:6">
      <c r="A4" s="2" t="s">
        <v>108</v>
      </c>
      <c r="B4" s="2" t="s">
        <v>109</v>
      </c>
      <c r="C4" s="2" t="s">
        <v>110</v>
      </c>
      <c r="D4" s="2" t="s">
        <v>111</v>
      </c>
      <c r="E4" s="5" t="s">
        <v>112</v>
      </c>
      <c r="F4" s="2" t="s">
        <v>113</v>
      </c>
    </row>
    <row r="5" spans="1:6">
      <c r="A5" s="2" t="s">
        <v>114</v>
      </c>
      <c r="B5" s="2" t="s">
        <v>115</v>
      </c>
      <c r="C5" s="2" t="s">
        <v>116</v>
      </c>
      <c r="D5" s="2" t="s">
        <v>117</v>
      </c>
      <c r="E5" s="6" t="s">
        <v>118</v>
      </c>
      <c r="F5" s="2" t="s">
        <v>119</v>
      </c>
    </row>
    <row r="6" spans="1:6">
      <c r="A6" s="2" t="s">
        <v>120</v>
      </c>
      <c r="B6" s="2" t="s">
        <v>115</v>
      </c>
      <c r="C6" s="2" t="s">
        <v>121</v>
      </c>
      <c r="D6" s="2" t="s">
        <v>122</v>
      </c>
      <c r="E6" s="6" t="s">
        <v>118</v>
      </c>
      <c r="F6" s="2" t="s">
        <v>123</v>
      </c>
    </row>
    <row r="7" spans="1:6">
      <c r="A7" s="2" t="s">
        <v>124</v>
      </c>
      <c r="B7" s="2" t="s">
        <v>109</v>
      </c>
      <c r="C7" s="2" t="s">
        <v>125</v>
      </c>
      <c r="D7" s="2" t="s">
        <v>126</v>
      </c>
      <c r="E7" s="5" t="s">
        <v>112</v>
      </c>
      <c r="F7" s="2" t="s">
        <v>127</v>
      </c>
    </row>
    <row r="8" spans="1:6">
      <c r="A8" s="2" t="s">
        <v>128</v>
      </c>
      <c r="B8" s="2" t="s">
        <v>109</v>
      </c>
      <c r="C8" s="2" t="s">
        <v>129</v>
      </c>
      <c r="D8" s="2" t="s">
        <v>130</v>
      </c>
      <c r="E8" s="6" t="s">
        <v>118</v>
      </c>
      <c r="F8" s="2" t="s">
        <v>131</v>
      </c>
    </row>
    <row r="9" spans="1:6">
      <c r="A9" s="2" t="s">
        <v>132</v>
      </c>
      <c r="B9" s="2" t="s">
        <v>109</v>
      </c>
      <c r="C9" s="2" t="s">
        <v>133</v>
      </c>
      <c r="D9" s="2" t="s">
        <v>134</v>
      </c>
      <c r="E9" s="2" t="s">
        <v>135</v>
      </c>
      <c r="F9" s="2" t="s">
        <v>136</v>
      </c>
    </row>
    <row r="10" spans="1:6">
      <c r="A10" s="2" t="s">
        <v>137</v>
      </c>
      <c r="B10" s="2" t="s">
        <v>109</v>
      </c>
      <c r="C10" s="2" t="s">
        <v>138</v>
      </c>
      <c r="D10" s="2" t="s">
        <v>139</v>
      </c>
      <c r="E10" s="6" t="s">
        <v>118</v>
      </c>
      <c r="F10" s="2" t="s">
        <v>140</v>
      </c>
    </row>
    <row r="11" spans="1:6">
      <c r="A11" s="2" t="s">
        <v>141</v>
      </c>
      <c r="B11" s="2" t="s">
        <v>115</v>
      </c>
      <c r="C11" s="2" t="s">
        <v>142</v>
      </c>
      <c r="D11" s="2" t="s">
        <v>143</v>
      </c>
      <c r="E11" s="6" t="s">
        <v>118</v>
      </c>
      <c r="F11" s="2" t="s">
        <v>144</v>
      </c>
    </row>
    <row r="12" spans="1:6">
      <c r="A12" s="2" t="s">
        <v>145</v>
      </c>
      <c r="B12" s="2" t="s">
        <v>109</v>
      </c>
      <c r="C12" s="2" t="s">
        <v>146</v>
      </c>
      <c r="D12" s="2" t="s">
        <v>147</v>
      </c>
      <c r="E12" s="6" t="s">
        <v>118</v>
      </c>
      <c r="F12" s="2" t="s">
        <v>148</v>
      </c>
    </row>
    <row r="13" spans="1:6">
      <c r="A13" s="2" t="s">
        <v>149</v>
      </c>
      <c r="B13" s="2" t="s">
        <v>115</v>
      </c>
      <c r="C13" s="2" t="s">
        <v>150</v>
      </c>
      <c r="D13" s="2" t="s">
        <v>151</v>
      </c>
      <c r="E13" s="6" t="s">
        <v>118</v>
      </c>
      <c r="F13" s="2" t="s">
        <v>152</v>
      </c>
    </row>
    <row r="14" spans="1:6">
      <c r="A14" s="2" t="s">
        <v>153</v>
      </c>
      <c r="B14" s="2" t="s">
        <v>115</v>
      </c>
      <c r="C14" s="2" t="s">
        <v>154</v>
      </c>
      <c r="D14" s="2" t="s">
        <v>155</v>
      </c>
      <c r="E14" s="6" t="s">
        <v>118</v>
      </c>
      <c r="F14" s="2" t="s">
        <v>156</v>
      </c>
    </row>
    <row r="15" spans="1:6">
      <c r="A15" s="2" t="s">
        <v>157</v>
      </c>
      <c r="B15" s="2" t="s">
        <v>109</v>
      </c>
      <c r="C15" s="2" t="s">
        <v>158</v>
      </c>
      <c r="D15" s="2" t="s">
        <v>159</v>
      </c>
      <c r="E15" s="6" t="s">
        <v>118</v>
      </c>
      <c r="F15" s="2" t="s">
        <v>160</v>
      </c>
    </row>
    <row r="16" spans="1:6">
      <c r="A16" s="2" t="s">
        <v>161</v>
      </c>
      <c r="B16" s="2" t="s">
        <v>100</v>
      </c>
      <c r="C16" s="2" t="s">
        <v>162</v>
      </c>
      <c r="D16" s="2" t="s">
        <v>163</v>
      </c>
      <c r="E16" s="6" t="s">
        <v>118</v>
      </c>
      <c r="F16" s="2" t="s">
        <v>164</v>
      </c>
    </row>
    <row r="17" spans="1:6">
      <c r="A17" s="2" t="s">
        <v>165</v>
      </c>
      <c r="B17" s="2" t="s">
        <v>109</v>
      </c>
      <c r="C17" s="2" t="s">
        <v>166</v>
      </c>
      <c r="D17" s="2" t="s">
        <v>167</v>
      </c>
      <c r="E17" s="6" t="s">
        <v>118</v>
      </c>
      <c r="F17" s="2" t="s">
        <v>168</v>
      </c>
    </row>
    <row r="18" spans="1:6">
      <c r="A18" s="2" t="s">
        <v>169</v>
      </c>
      <c r="B18" s="2" t="s">
        <v>115</v>
      </c>
      <c r="C18" s="2" t="s">
        <v>170</v>
      </c>
      <c r="D18" s="2" t="s">
        <v>171</v>
      </c>
      <c r="E18" s="6" t="s">
        <v>118</v>
      </c>
      <c r="F18" s="2" t="s">
        <v>172</v>
      </c>
    </row>
    <row r="19" spans="1:6">
      <c r="A19" s="2" t="s">
        <v>173</v>
      </c>
      <c r="B19" s="2" t="s">
        <v>100</v>
      </c>
      <c r="C19" s="2" t="s">
        <v>174</v>
      </c>
      <c r="D19" s="2" t="s">
        <v>175</v>
      </c>
      <c r="E19" s="6" t="s">
        <v>103</v>
      </c>
      <c r="F19" s="2" t="s">
        <v>176</v>
      </c>
    </row>
    <row r="20" spans="1:6">
      <c r="A20" s="2" t="s">
        <v>177</v>
      </c>
      <c r="B20" s="2" t="s">
        <v>115</v>
      </c>
      <c r="C20" s="2" t="s">
        <v>178</v>
      </c>
      <c r="D20" s="2" t="s">
        <v>179</v>
      </c>
      <c r="E20" s="6" t="s">
        <v>118</v>
      </c>
      <c r="F20" s="2" t="s">
        <v>180</v>
      </c>
    </row>
    <row r="21" spans="1:6">
      <c r="A21" s="2" t="s">
        <v>181</v>
      </c>
      <c r="B21" s="2" t="s">
        <v>109</v>
      </c>
      <c r="C21" s="2" t="s">
        <v>182</v>
      </c>
      <c r="D21" s="2" t="s">
        <v>183</v>
      </c>
      <c r="E21" s="6" t="s">
        <v>118</v>
      </c>
      <c r="F21" s="2" t="s">
        <v>184</v>
      </c>
    </row>
    <row r="22" spans="1:6">
      <c r="A22" s="2" t="s">
        <v>185</v>
      </c>
      <c r="B22" s="2" t="s">
        <v>115</v>
      </c>
      <c r="C22" s="2" t="s">
        <v>186</v>
      </c>
      <c r="D22" s="2" t="s">
        <v>187</v>
      </c>
      <c r="E22" s="6" t="s">
        <v>118</v>
      </c>
      <c r="F22" s="2" t="s">
        <v>188</v>
      </c>
    </row>
    <row r="23" spans="1:6">
      <c r="A23" s="2" t="s">
        <v>189</v>
      </c>
      <c r="B23" s="2" t="s">
        <v>115</v>
      </c>
      <c r="C23" s="2" t="s">
        <v>190</v>
      </c>
      <c r="D23" s="2" t="s">
        <v>191</v>
      </c>
      <c r="E23" s="6" t="s">
        <v>192</v>
      </c>
      <c r="F23" s="2" t="s">
        <v>193</v>
      </c>
    </row>
    <row r="24" spans="1:6">
      <c r="A24" s="2" t="s">
        <v>194</v>
      </c>
      <c r="B24" s="2" t="s">
        <v>115</v>
      </c>
      <c r="C24" s="2" t="s">
        <v>190</v>
      </c>
      <c r="D24" s="2" t="s">
        <v>195</v>
      </c>
      <c r="E24" s="6" t="s">
        <v>192</v>
      </c>
      <c r="F24" s="2" t="s">
        <v>196</v>
      </c>
    </row>
    <row r="25" spans="1:6">
      <c r="A25" s="2" t="s">
        <v>197</v>
      </c>
      <c r="B25" s="2" t="s">
        <v>115</v>
      </c>
      <c r="C25" s="2" t="s">
        <v>198</v>
      </c>
      <c r="D25" s="2" t="s">
        <v>199</v>
      </c>
      <c r="E25" s="6" t="s">
        <v>118</v>
      </c>
      <c r="F25" s="2" t="s">
        <v>200</v>
      </c>
    </row>
    <row r="26" spans="1:6">
      <c r="A26" s="2" t="s">
        <v>201</v>
      </c>
      <c r="B26" s="2" t="s">
        <v>109</v>
      </c>
      <c r="C26" s="2" t="s">
        <v>202</v>
      </c>
      <c r="D26" s="2" t="s">
        <v>203</v>
      </c>
      <c r="E26" s="2" t="s">
        <v>135</v>
      </c>
      <c r="F26" s="2" t="s">
        <v>204</v>
      </c>
    </row>
    <row r="27" spans="1:6">
      <c r="A27" s="2" t="s">
        <v>205</v>
      </c>
      <c r="B27" s="2" t="s">
        <v>109</v>
      </c>
      <c r="C27" s="2" t="s">
        <v>206</v>
      </c>
      <c r="D27" s="2" t="s">
        <v>207</v>
      </c>
      <c r="E27" s="5" t="s">
        <v>208</v>
      </c>
      <c r="F27" s="2" t="s">
        <v>209</v>
      </c>
    </row>
    <row r="28" spans="1:6">
      <c r="A28" s="2" t="s">
        <v>210</v>
      </c>
      <c r="B28" s="2" t="s">
        <v>109</v>
      </c>
      <c r="C28" s="2" t="s">
        <v>211</v>
      </c>
      <c r="D28" s="2" t="s">
        <v>212</v>
      </c>
      <c r="E28" s="6" t="s">
        <v>118</v>
      </c>
      <c r="F28" s="2" t="s">
        <v>213</v>
      </c>
    </row>
    <row r="29" spans="1:6">
      <c r="A29" s="2" t="s">
        <v>214</v>
      </c>
      <c r="B29" s="2" t="s">
        <v>109</v>
      </c>
      <c r="C29" s="2" t="s">
        <v>215</v>
      </c>
      <c r="D29" s="2" t="s">
        <v>216</v>
      </c>
      <c r="E29" s="6" t="s">
        <v>118</v>
      </c>
      <c r="F29" s="2" t="s">
        <v>217</v>
      </c>
    </row>
    <row r="30" spans="1:6">
      <c r="A30" s="2" t="s">
        <v>218</v>
      </c>
      <c r="B30" s="2" t="s">
        <v>109</v>
      </c>
      <c r="C30" s="2" t="s">
        <v>215</v>
      </c>
      <c r="D30" s="2" t="s">
        <v>219</v>
      </c>
      <c r="E30" s="6" t="s">
        <v>118</v>
      </c>
      <c r="F30" s="2" t="s">
        <v>220</v>
      </c>
    </row>
    <row r="31" spans="1:6">
      <c r="A31" s="2" t="s">
        <v>221</v>
      </c>
      <c r="B31" s="2" t="s">
        <v>109</v>
      </c>
      <c r="C31" s="2" t="s">
        <v>215</v>
      </c>
      <c r="D31" s="2" t="s">
        <v>222</v>
      </c>
      <c r="E31" s="6" t="s">
        <v>118</v>
      </c>
      <c r="F31" s="2" t="s">
        <v>223</v>
      </c>
    </row>
    <row r="32" spans="1:6">
      <c r="A32" s="2" t="s">
        <v>224</v>
      </c>
      <c r="B32" s="2" t="s">
        <v>109</v>
      </c>
      <c r="C32" s="2" t="s">
        <v>215</v>
      </c>
      <c r="D32" s="2" t="s">
        <v>225</v>
      </c>
      <c r="E32" s="2" t="s">
        <v>135</v>
      </c>
      <c r="F32" s="2" t="s">
        <v>226</v>
      </c>
    </row>
    <row r="33" spans="1:6">
      <c r="A33" s="2" t="s">
        <v>227</v>
      </c>
      <c r="B33" s="2" t="s">
        <v>109</v>
      </c>
      <c r="C33" s="2" t="s">
        <v>215</v>
      </c>
      <c r="D33" s="2" t="s">
        <v>228</v>
      </c>
      <c r="E33" s="6" t="s">
        <v>118</v>
      </c>
      <c r="F33" s="2" t="s">
        <v>229</v>
      </c>
    </row>
    <row r="34" spans="1:6">
      <c r="A34" s="2" t="s">
        <v>230</v>
      </c>
      <c r="B34" s="2" t="s">
        <v>231</v>
      </c>
      <c r="C34" s="2" t="s">
        <v>232</v>
      </c>
      <c r="D34" s="2" t="s">
        <v>233</v>
      </c>
      <c r="E34" s="6" t="s">
        <v>234</v>
      </c>
      <c r="F34" s="2" t="s">
        <v>235</v>
      </c>
    </row>
    <row r="35" spans="1:6">
      <c r="A35" s="2" t="s">
        <v>236</v>
      </c>
      <c r="B35" s="2" t="s">
        <v>115</v>
      </c>
      <c r="C35" s="2" t="s">
        <v>237</v>
      </c>
      <c r="D35" s="2" t="s">
        <v>238</v>
      </c>
      <c r="E35" s="2" t="s">
        <v>239</v>
      </c>
      <c r="F35" s="2" t="s">
        <v>240</v>
      </c>
    </row>
    <row r="36" spans="1:6">
      <c r="A36" s="2" t="s">
        <v>241</v>
      </c>
      <c r="B36" s="2" t="s">
        <v>115</v>
      </c>
      <c r="C36" s="2" t="s">
        <v>242</v>
      </c>
      <c r="D36" s="2" t="s">
        <v>243</v>
      </c>
      <c r="E36" s="6" t="s">
        <v>118</v>
      </c>
      <c r="F36" s="2" t="s">
        <v>244</v>
      </c>
    </row>
    <row r="37" spans="1:6">
      <c r="A37" s="2" t="s">
        <v>245</v>
      </c>
      <c r="B37" s="2" t="s">
        <v>246</v>
      </c>
      <c r="C37" s="2" t="s">
        <v>247</v>
      </c>
      <c r="D37" s="2" t="s">
        <v>248</v>
      </c>
      <c r="E37" s="6" t="s">
        <v>249</v>
      </c>
      <c r="F37" s="2" t="s">
        <v>250</v>
      </c>
    </row>
    <row r="38" spans="1:6">
      <c r="A38" s="2" t="s">
        <v>251</v>
      </c>
      <c r="B38" s="2" t="s">
        <v>252</v>
      </c>
      <c r="C38" s="2" t="s">
        <v>253</v>
      </c>
      <c r="D38" s="2" t="s">
        <v>254</v>
      </c>
      <c r="E38" s="6" t="s">
        <v>255</v>
      </c>
      <c r="F38" s="2" t="s">
        <v>256</v>
      </c>
    </row>
    <row r="39" spans="1:6">
      <c r="A39" s="2" t="s">
        <v>257</v>
      </c>
      <c r="B39" s="2" t="s">
        <v>100</v>
      </c>
      <c r="C39" s="2" t="s">
        <v>258</v>
      </c>
      <c r="D39" s="2" t="s">
        <v>259</v>
      </c>
      <c r="E39" s="6" t="s">
        <v>260</v>
      </c>
      <c r="F39" s="2" t="s">
        <v>261</v>
      </c>
    </row>
    <row r="40" spans="1:6">
      <c r="A40" s="2" t="s">
        <v>262</v>
      </c>
      <c r="B40" s="2" t="s">
        <v>115</v>
      </c>
      <c r="C40" s="2" t="s">
        <v>263</v>
      </c>
      <c r="D40" s="2" t="s">
        <v>264</v>
      </c>
      <c r="E40" s="2" t="s">
        <v>265</v>
      </c>
      <c r="F40" s="2" t="s">
        <v>266</v>
      </c>
    </row>
    <row r="41" spans="1:6">
      <c r="A41" s="2" t="s">
        <v>267</v>
      </c>
      <c r="B41" s="2" t="s">
        <v>115</v>
      </c>
      <c r="C41" s="2" t="s">
        <v>268</v>
      </c>
      <c r="D41" s="2" t="s">
        <v>269</v>
      </c>
      <c r="E41" s="6" t="s">
        <v>260</v>
      </c>
      <c r="F41" s="2" t="s">
        <v>270</v>
      </c>
    </row>
    <row r="42" spans="1:6">
      <c r="A42" s="2" t="s">
        <v>271</v>
      </c>
      <c r="B42" s="2" t="s">
        <v>100</v>
      </c>
      <c r="C42" s="2" t="s">
        <v>272</v>
      </c>
      <c r="D42" s="2" t="s">
        <v>273</v>
      </c>
      <c r="E42" s="6" t="s">
        <v>274</v>
      </c>
      <c r="F42" s="2" t="s">
        <v>275</v>
      </c>
    </row>
    <row r="43" spans="1:6">
      <c r="A43" s="2" t="s">
        <v>276</v>
      </c>
      <c r="B43" s="2" t="s">
        <v>115</v>
      </c>
      <c r="C43" s="2" t="s">
        <v>277</v>
      </c>
      <c r="D43" s="2" t="s">
        <v>278</v>
      </c>
      <c r="E43" s="6" t="s">
        <v>279</v>
      </c>
      <c r="F43" s="2" t="s">
        <v>280</v>
      </c>
    </row>
    <row r="44" spans="1:6">
      <c r="A44" s="2" t="s">
        <v>281</v>
      </c>
      <c r="B44" s="2" t="s">
        <v>246</v>
      </c>
      <c r="C44" s="2" t="s">
        <v>282</v>
      </c>
      <c r="D44" s="2" t="s">
        <v>283</v>
      </c>
      <c r="E44" s="6" t="s">
        <v>279</v>
      </c>
      <c r="F44" s="2" t="s">
        <v>284</v>
      </c>
    </row>
    <row r="45" spans="1:6">
      <c r="A45" s="2" t="s">
        <v>285</v>
      </c>
      <c r="B45" s="2" t="s">
        <v>100</v>
      </c>
      <c r="C45" s="2" t="s">
        <v>286</v>
      </c>
      <c r="D45" s="2" t="s">
        <v>287</v>
      </c>
      <c r="E45" s="2" t="s">
        <v>288</v>
      </c>
      <c r="F45" s="2" t="s">
        <v>289</v>
      </c>
    </row>
    <row r="46" spans="1:6">
      <c r="A46" s="2" t="s">
        <v>290</v>
      </c>
      <c r="B46" s="2" t="s">
        <v>109</v>
      </c>
      <c r="C46" s="2" t="s">
        <v>291</v>
      </c>
      <c r="D46" s="2" t="s">
        <v>292</v>
      </c>
      <c r="E46" s="6" t="s">
        <v>293</v>
      </c>
      <c r="F46" s="2" t="s">
        <v>294</v>
      </c>
    </row>
    <row r="47" spans="1:6">
      <c r="A47" s="2" t="s">
        <v>295</v>
      </c>
      <c r="B47" s="2" t="s">
        <v>109</v>
      </c>
      <c r="C47" s="2" t="s">
        <v>296</v>
      </c>
      <c r="D47" s="2" t="s">
        <v>297</v>
      </c>
      <c r="E47" s="6" t="s">
        <v>293</v>
      </c>
      <c r="F47" s="2" t="s">
        <v>298</v>
      </c>
    </row>
    <row r="48" spans="1:6">
      <c r="A48" s="2" t="s">
        <v>299</v>
      </c>
      <c r="B48" s="2" t="s">
        <v>109</v>
      </c>
      <c r="C48" s="2" t="s">
        <v>296</v>
      </c>
      <c r="D48" s="2" t="s">
        <v>300</v>
      </c>
      <c r="E48" s="6" t="s">
        <v>293</v>
      </c>
      <c r="F48" s="2" t="s">
        <v>301</v>
      </c>
    </row>
    <row r="49" spans="1:6">
      <c r="A49" s="2" t="s">
        <v>302</v>
      </c>
      <c r="B49" s="2" t="s">
        <v>115</v>
      </c>
      <c r="C49" s="2" t="s">
        <v>303</v>
      </c>
      <c r="D49" s="2" t="s">
        <v>304</v>
      </c>
      <c r="E49" s="6" t="s">
        <v>293</v>
      </c>
      <c r="F49" s="2" t="s">
        <v>305</v>
      </c>
    </row>
    <row r="50" spans="1:6">
      <c r="A50" s="2" t="s">
        <v>306</v>
      </c>
      <c r="B50" s="2" t="s">
        <v>109</v>
      </c>
      <c r="C50" s="2" t="s">
        <v>307</v>
      </c>
      <c r="D50" s="2" t="s">
        <v>308</v>
      </c>
      <c r="E50" s="6" t="s">
        <v>293</v>
      </c>
      <c r="F50" s="2" t="s">
        <v>309</v>
      </c>
    </row>
    <row r="51" spans="1:6">
      <c r="A51" s="2" t="s">
        <v>310</v>
      </c>
      <c r="B51" s="2" t="s">
        <v>109</v>
      </c>
      <c r="C51" s="2" t="s">
        <v>296</v>
      </c>
      <c r="D51" s="2" t="s">
        <v>311</v>
      </c>
      <c r="E51" s="6" t="s">
        <v>293</v>
      </c>
      <c r="F51" s="2" t="s">
        <v>312</v>
      </c>
    </row>
  </sheetData>
  <autoFilter ref="A1:F5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8761D"/>
  </sheetPr>
  <dimension ref="A1:D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16.7109375" customWidth="1"/>
    <col min="3" max="3" width="12.7109375" customWidth="1"/>
    <col min="4" max="4" width="72.7109375" customWidth="1"/>
  </cols>
  <sheetData>
    <row r="1" spans="1:4" ht="28" customHeight="1">
      <c r="A1" s="1" t="s">
        <v>2</v>
      </c>
      <c r="B1" s="1" t="s">
        <v>96</v>
      </c>
      <c r="C1" s="1" t="s">
        <v>4</v>
      </c>
      <c r="D1" s="1" t="s">
        <v>313</v>
      </c>
    </row>
    <row r="2" spans="1:4">
      <c r="A2" s="2" t="s">
        <v>314</v>
      </c>
      <c r="B2" s="2" t="s">
        <v>253</v>
      </c>
      <c r="C2" s="6" t="s">
        <v>315</v>
      </c>
      <c r="D2" s="2" t="s">
        <v>316</v>
      </c>
    </row>
    <row r="3" spans="1:4">
      <c r="A3" s="2" t="s">
        <v>317</v>
      </c>
      <c r="B3" s="2" t="s">
        <v>253</v>
      </c>
      <c r="C3" s="6" t="s">
        <v>315</v>
      </c>
      <c r="D3" s="2" t="s">
        <v>318</v>
      </c>
    </row>
    <row r="4" spans="1:4">
      <c r="A4" s="2" t="s">
        <v>319</v>
      </c>
      <c r="B4" s="2" t="s">
        <v>320</v>
      </c>
      <c r="C4" s="6" t="s">
        <v>315</v>
      </c>
      <c r="D4" s="2" t="s">
        <v>321</v>
      </c>
    </row>
    <row r="5" spans="1:4">
      <c r="A5" s="2" t="s">
        <v>322</v>
      </c>
      <c r="B5" s="2" t="s">
        <v>253</v>
      </c>
      <c r="C5" s="6" t="s">
        <v>315</v>
      </c>
      <c r="D5" s="2" t="s">
        <v>323</v>
      </c>
    </row>
    <row r="6" spans="1:4">
      <c r="A6" s="2" t="s">
        <v>324</v>
      </c>
      <c r="B6" s="2" t="s">
        <v>320</v>
      </c>
      <c r="C6" s="6" t="s">
        <v>315</v>
      </c>
      <c r="D6" s="2" t="s">
        <v>325</v>
      </c>
    </row>
    <row r="7" spans="1:4">
      <c r="A7" s="2" t="s">
        <v>326</v>
      </c>
      <c r="B7" s="2" t="s">
        <v>253</v>
      </c>
      <c r="C7" s="6" t="s">
        <v>315</v>
      </c>
      <c r="D7" s="2" t="s">
        <v>327</v>
      </c>
    </row>
    <row r="8" spans="1:4">
      <c r="A8" s="2" t="s">
        <v>328</v>
      </c>
      <c r="B8" s="2" t="s">
        <v>253</v>
      </c>
      <c r="C8" s="6" t="s">
        <v>315</v>
      </c>
      <c r="D8" s="2" t="s">
        <v>329</v>
      </c>
    </row>
    <row r="9" spans="1:4">
      <c r="A9" s="2" t="s">
        <v>330</v>
      </c>
      <c r="B9" s="2" t="s">
        <v>49</v>
      </c>
      <c r="C9" s="6" t="s">
        <v>315</v>
      </c>
      <c r="D9" s="2" t="s">
        <v>331</v>
      </c>
    </row>
    <row r="10" spans="1:4">
      <c r="A10" s="2" t="s">
        <v>332</v>
      </c>
      <c r="B10" s="2" t="s">
        <v>333</v>
      </c>
      <c r="C10" s="6" t="s">
        <v>315</v>
      </c>
      <c r="D10" s="2" t="s">
        <v>334</v>
      </c>
    </row>
    <row r="11" spans="1:4">
      <c r="A11" s="2" t="s">
        <v>335</v>
      </c>
      <c r="B11" s="2" t="s">
        <v>253</v>
      </c>
      <c r="C11" s="6" t="s">
        <v>315</v>
      </c>
      <c r="D11" s="2" t="s">
        <v>336</v>
      </c>
    </row>
    <row r="12" spans="1:4">
      <c r="A12" s="2" t="s">
        <v>337</v>
      </c>
      <c r="B12" s="2" t="s">
        <v>338</v>
      </c>
      <c r="C12" s="6" t="s">
        <v>339</v>
      </c>
      <c r="D12" s="2" t="s">
        <v>340</v>
      </c>
    </row>
    <row r="13" spans="1:4">
      <c r="A13" s="2" t="s">
        <v>341</v>
      </c>
      <c r="B13" s="2" t="s">
        <v>338</v>
      </c>
      <c r="C13" s="6" t="s">
        <v>339</v>
      </c>
      <c r="D13" s="2" t="s">
        <v>342</v>
      </c>
    </row>
    <row r="14" spans="1:4">
      <c r="A14" s="2" t="s">
        <v>343</v>
      </c>
      <c r="B14" s="2" t="s">
        <v>8</v>
      </c>
      <c r="C14" s="6" t="s">
        <v>344</v>
      </c>
      <c r="D14" s="2" t="s">
        <v>345</v>
      </c>
    </row>
  </sheetData>
  <autoFilter ref="A1:D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Open Items &amp; Backlog</vt:lpstr>
      <vt:lpstr>Bug Ledger (all)</vt:lpstr>
      <vt:lpstr>Shipped 2026-06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2026-06-20T19:20:30Z</dcterms:created>
  <dcterms:modified xsi:type="dcterms:W3CDTF">2026-06-20T19:20:30Z</dcterms:modified>
</cp:coreProperties>
</file>