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palakjain/Vibe_Coding/finwise/docs/FCC-core-55-70/"/>
    </mc:Choice>
  </mc:AlternateContent>
  <xr:revisionPtr revIDLastSave="0" documentId="13_ncr:1_{4D79C5F7-739F-F840-B123-CC2D7B36A2A5}" xr6:coauthVersionLast="47" xr6:coauthVersionMax="47" xr10:uidLastSave="{00000000-0000-0000-0000-000000000000}"/>
  <bookViews>
    <workbookView xWindow="0" yWindow="0" windowWidth="33600" windowHeight="19880" activeTab="6" xr2:uid="{00000000-000D-0000-FFFF-FFFF00000000}"/>
  </bookViews>
  <sheets>
    <sheet name="Overview &amp; how to read" sheetId="1" r:id="rId1"/>
    <sheet name="v1.0 review → v1.1" sheetId="2" r:id="rId2"/>
    <sheet name="Screen inventory" sheetId="3" r:id="rId3"/>
    <sheet name="Home" sheetId="4" r:id="rId4"/>
    <sheet name="Net worth" sheetId="5" r:id="rId5"/>
    <sheet name="Invest" sheetId="6" r:id="rId6"/>
    <sheet name="Cash flow" sheetId="7" r:id="rId7"/>
    <sheet name="Plan" sheetId="8" r:id="rId8"/>
    <sheet name="New engines" sheetId="9" r:id="rId9"/>
    <sheet name="Data-lineage map"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8" i="10" l="1"/>
  <c r="D14" i="10"/>
  <c r="D11" i="10"/>
  <c r="D10" i="10"/>
  <c r="D7" i="10"/>
</calcChain>
</file>

<file path=xl/sharedStrings.xml><?xml version="1.0" encoding="utf-8"?>
<sst xmlns="http://schemas.openxmlformats.org/spreadsheetml/2006/main" count="2397" uniqueCount="2134">
  <si>
    <t>#</t>
  </si>
  <si>
    <t>Where</t>
  </si>
  <si>
    <t>Your comment</t>
  </si>
  <si>
    <t>Answer</t>
  </si>
  <si>
    <t>What changed in v1.1</t>
  </si>
  <si>
    <t>✅ Approve?</t>
  </si>
  <si>
    <t>💬 Comments</t>
  </si>
  <si>
    <t>M1</t>
  </si>
  <si>
    <t>Macro</t>
  </si>
  <si>
    <t>No mockups for onboarding or manual-add screens.</t>
  </si>
  <si>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</si>
  <si>
    <t>2 NEW screens + flow map.</t>
  </si>
  <si>
    <t>M2</t>
  </si>
  <si>
    <t>Continue buttons must never hide behind the keyboard.</t>
  </si>
  <si>
    <t>Made a hard, testable rule: every input screen gets a 'keyboard open' state — the primary button stays pinned above the keyboard (or the field auto-scrolls into view). Added to the UX accessibility GATE checklist (it's a check, not a hope) — this bug class bit the live app before.</t>
  </si>
  <si>
    <t>UX gate rule + keyboard state on all input screens.</t>
  </si>
  <si>
    <t>M3</t>
  </si>
  <si>
    <t>No flow to add day-to-day expenses.</t>
  </si>
  <si>
    <t>Designed: Quick-add expense sheet (see comment 30).</t>
  </si>
  <si>
    <t>NEW screen.</t>
  </si>
  <si>
    <t>M4</t>
  </si>
  <si>
    <t>NW is on Home — switch the top chip to Add expense or something else?</t>
  </si>
  <si>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</si>
  <si>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</si>
  <si>
    <t>1</t>
  </si>
  <si>
    <t>Home · working hero</t>
  </si>
  <si>
    <t>Triangle should be '(green) up $11,200'; 'Will it last?' unclear — retirement? till what age?; info dots for investments/market/net worth.</t>
  </si>
  <si>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</si>
  <si>
    <t>Hero element spec + 3 new info-dot entries; strip renamed on 3 tabs.</t>
  </si>
  <si>
    <t>2</t>
  </si>
  <si>
    <t>Home · hero total</t>
  </si>
  <si>
    <t>Investment = stocks + funds + bonds + alternatives? Excludes cash — right?</t>
  </si>
  <si>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</si>
  <si>
    <t>Info dot copy: 'Your investments = stocks &amp; funds + bonds + alternatives. Cash is counted separately.'</t>
  </si>
  <si>
    <t>3</t>
  </si>
  <si>
    <t>Home · vs market</t>
  </si>
  <si>
    <t>Benchmark is S&amp;P 500? Add info dot.</t>
  </si>
  <si>
    <t>Default yes — the comparison uses an S&amp;P 500 index fund (SPY) unless a holding's type maps to a closer yardstick (verified: benchmarkTicker, src/domain/performance/index.ts:132, default 'SPY' with a per-type table). Info dot added: 'the market = the S&amp;P 500, the 500 largest US companies.'</t>
  </si>
  <si>
    <t>Info dot added on the comparison line.</t>
  </si>
  <si>
    <t>4</t>
  </si>
  <si>
    <t>Home · retired hero wording order</t>
  </si>
  <si>
    <t>Norm is 'Social Security + Pension $4,200 (guaranteed)' — source first, amount after, like a paycheck. Do your research.</t>
  </si>
  <si>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</si>
  <si>
    <t>Retired hero wireframe + Cash flow hero reordered.</t>
  </si>
  <si>
    <t>5</t>
  </si>
  <si>
    <t>Home · safe draw vs big bill</t>
  </si>
  <si>
    <t>What if safe draw is less than the big bill? Where is that information?</t>
  </si>
  <si>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</si>
  <si>
    <t>Home hero state 'big-bill month exceeds income' added with the caption example.</t>
  </si>
  <si>
    <t>6</t>
  </si>
  <si>
    <t>Home · Worth-a-look copy</t>
  </si>
  <si>
    <t>How are responses formulated — LLM or pre-crafted?</t>
  </si>
  <si>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</si>
  <si>
    <t>Principle added: 'All app copy = reviewed templates + computed numbers; no AI-generated text in v1.'</t>
  </si>
  <si>
    <t>7</t>
  </si>
  <si>
    <t>First-run · what did you come for</t>
  </si>
  <si>
    <t>Should be multi-select (a retired person may also want growth). And should we first tell the user what FinWise can do?</t>
  </si>
  <si>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</si>
  <si>
    <t>First-run screen: multi-select + new intro step in the onboarding flow map (new screen).</t>
  </si>
  <si>
    <t>8</t>
  </si>
  <si>
    <t>First-run · just explore</t>
  </si>
  <si>
    <t>If user selects 'just explore' — what are the next few screens?</t>
  </si>
  <si>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</si>
  <si>
    <t>Just-explore sequence written into the first-run screen's states + the onboarding flow map.</t>
  </si>
  <si>
    <t>9</t>
  </si>
  <si>
    <t>First-run · copy</t>
  </si>
  <si>
    <t>'Your whole picture' unclear — maybe 'your entire finance picture'? 'The few things need you, in dollars' — what does 'in dollars' mean?</t>
  </si>
  <si>
    <t>Reworded: 'Your whole money picture in one place' and 'The few things that need your attention — each with a dollar amount, so you can size it at a glance.'</t>
  </si>
  <si>
    <t>Copy updated on first-run + intro.</t>
  </si>
  <si>
    <t>10</t>
  </si>
  <si>
    <t>Home · hidden balances</t>
  </si>
  <si>
    <t>No refresh date and time on this variant.</t>
  </si>
  <si>
    <t>Fixed — the freshness stamp ('prices as of 4:00pm today' / 'as of Jun 27') now appears on EVERY Home variant including balances-hidden; masking hides amounts, never honesty about freshness.</t>
  </si>
  <si>
    <t>Hidden-balances wireframe + rule: freshness line survives masking.</t>
  </si>
  <si>
    <t>11</t>
  </si>
  <si>
    <t>Home · freshness line placement</t>
  </si>
  <si>
    <t>Mockups disagree — is the date/time after 'your investments' or after 'net worth'?</t>
  </si>
  <si>
    <t>Standardized: the freshness stamp sits directly UNDER the hero number (after the hero block, before the Net worth line) on every variant — closest to the biggest number it describes. All wireframes now match.</t>
  </si>
  <si>
    <t>All Home wireframes aligned to one placement.</t>
  </si>
  <si>
    <t>12</t>
  </si>
  <si>
    <t>Home · insights source</t>
  </si>
  <si>
    <t>Where does comparative data come from? Do we have an analytical engine analyzing imported data?</t>
  </si>
  <si>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</si>
  <si>
    <t>Engine note added (rule-based, deterministic, inputs listed).</t>
  </si>
  <si>
    <t>13</t>
  </si>
  <si>
    <t>Net worth · retirement grouping</t>
  </si>
  <si>
    <t>Did strategy say people think in retirement vs non-retirement accounts? If yes, label retirement accounts. Info dots for all classes.</t>
  </si>
  <si>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</si>
  <si>
    <t>Wrapper tags + third grouping toggle + class info dots.</t>
  </si>
  <si>
    <t>14</t>
  </si>
  <si>
    <t>Net worth · trend</t>
  </si>
  <si>
    <t>'Plain line' means line graph?</t>
  </si>
  <si>
    <t>Yes — a simple line graph of the last 12 month-end net-worth values, no axes clutter. Wording fixed to say 'a simple line graph.'</t>
  </si>
  <si>
    <t>Element copy clarified.</t>
  </si>
  <si>
    <t>15</t>
  </si>
  <si>
    <t>Net worth · manual update</t>
  </si>
  <si>
    <t>What does the screen look like for a manual update?</t>
  </si>
  <si>
    <t>Now wireframed — part of the new 'Add or edit an account by hand' screen (macro item 1): edit mode shows the same per-class fields pre-filled, with balance + 'value as of' saved together, and the keyboard-safe Save button.</t>
  </si>
  <si>
    <t>NEW screen: manual add/edit account (see macro additions).</t>
  </si>
  <si>
    <t>16</t>
  </si>
  <si>
    <t>Net worth · add-account fields</t>
  </si>
  <si>
    <t>Separate or dynamic screen per asset class, collecting the right required info?</t>
  </si>
  <si>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</si>
  <si>
    <t>NEW screen spec with the per-class field table.</t>
  </si>
  <si>
    <t>17</t>
  </si>
  <si>
    <t>Net worth · cushion</t>
  </si>
  <si>
    <t>Cash = cash + cash equivalents?</t>
  </si>
  <si>
    <t>Yes — the cushion uses cashTotal, the cash CLASS, which includes equivalents (savings, high-yield savings, money market, CDs, T-bills under 12 months). Same definition as the Cash row above it — one total. Info dot added.</t>
  </si>
  <si>
    <t>Info dot on the cushion card.</t>
  </si>
  <si>
    <t>18</t>
  </si>
  <si>
    <t>Net worth · path ahead</t>
  </si>
  <si>
    <t>Is the display a graph, table, or numbers?</t>
  </si>
  <si>
    <t>The row itself is one line + chevron; tapping opens Plan's will-it-last detail, which shows the GRAPH (three labeled lines: bad-markets / typical / good-markets) with a 'view as numbers' table alternative. Clarified in the element.</t>
  </si>
  <si>
    <t>Element copy: link-row → band chart with table fallback.</t>
  </si>
  <si>
    <t>19</t>
  </si>
  <si>
    <t>Net worth · import format</t>
  </si>
  <si>
    <t>Do we need a specific file format? Add info dot with file type and must-have columns.</t>
  </si>
  <si>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</si>
  <si>
    <t>Info dot added to Import v2.</t>
  </si>
  <si>
    <t>20</t>
  </si>
  <si>
    <t>Connect · what's captured</t>
  </si>
  <si>
    <t>Only balance, or individual holdings (AMZN 100 shares…)?</t>
  </si>
  <si>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</si>
  <si>
    <t>F1 spec + accounts-found element updated: holdings-level for investment accounts.</t>
  </si>
  <si>
    <t>21</t>
  </si>
  <si>
    <t>Net worth · dividends &amp; capital gains</t>
  </si>
  <si>
    <t>Is a dividend added to income or cash? Is capital gain captured and displayed anywhere?</t>
  </si>
  <si>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</si>
  <si>
    <t>NEW 'Where the return came from' element (Invest): price change on paper · realized on sales · dividends · interest. Cash flow gains a labeled 'investment income' line.</t>
  </si>
  <si>
    <t>22</t>
  </si>
  <si>
    <t>Net worth · bonds via connection</t>
  </si>
  <si>
    <t>Imported directly via Plaid? Does it capture bond interest payments?</t>
  </si>
  <si>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</si>
  <si>
    <t>F1 spec note: bond positions + interest via connection where reported.</t>
  </si>
  <si>
    <t>23</t>
  </si>
  <si>
    <t>Net worth · bond editor provenance</t>
  </si>
  <si>
    <t>Is this manual, imported, or connected?</t>
  </si>
  <si>
    <t>The bond EDITOR is the manual path. A connected or imported bond shows the same detail page with its provenance chip ('Connected · read-only' / 'Imported · Jun 12') and its facts pre-filled; you edit only what the source doesn't provide. Clarified on the editor's header spec.</t>
  </si>
  <si>
    <t>Provenance chip added to bond/alternative editor headers.</t>
  </si>
  <si>
    <t>24</t>
  </si>
  <si>
    <t>Invest · return composition</t>
  </si>
  <si>
    <t>Does total return capture realized and unrealized? Where do realized P/L, unrealized P/L, dividends, interest show separately?</t>
  </si>
  <si>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</si>
  <si>
    <t>NEW element + engine note (return composition, net-new); per-holding dividends line (comment 28).</t>
  </si>
  <si>
    <t>25</t>
  </si>
  <si>
    <t>Invest · long holdings list</t>
  </si>
  <si>
    <t>Expandable/collapsible? People can have 20-30+ holdings.</t>
  </si>
  <si>
    <t>Adopted: each class group is collapsible, opens showing the top 5 by value with 'show all 27' — the glance stays a glance at any portfolio size.</t>
  </si>
  <si>
    <t>List spec: collapsible groups, top-5 default, show-all row.</t>
  </si>
  <si>
    <t>26</t>
  </si>
  <si>
    <t>Invest · what-if objective</t>
  </si>
  <si>
    <t>What's the objective of 'what if' — evaluating if I'd bought NVDA instead of AMZN 6 months ago, or something different?</t>
  </si>
  <si>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</si>
  <si>
    <t>Entry-card copy disambiguated (back = facts, ahead = estimate).</t>
  </si>
  <si>
    <t>27</t>
  </si>
  <si>
    <t>Invest · retirement vs other savings</t>
  </si>
  <si>
    <t>How do we evaluate if something is saved toward retirement vs other goals? Is NW = retire, or retire = assets − home − car?</t>
  </si>
  <si>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</si>
  <si>
    <t>Earmark explanation + info dot; earmark edit surfaced on account detail.</t>
  </si>
  <si>
    <t>28</t>
  </si>
  <si>
    <t>Invest · equity detail dividends</t>
  </si>
  <si>
    <t>Stocks with dividends — will it show dividends received?</t>
  </si>
  <si>
    <t>Yes — v1.1 adds a 'Dividends received' line to the equity holding detail (from the ledger's DIVIDEND rows for that ticker: this year + all time), feeding the same return-composition card.</t>
  </si>
  <si>
    <t>Equity detail: dividends-received line added.</t>
  </si>
  <si>
    <t>29</t>
  </si>
  <si>
    <t>Invest · manual txn on connected account</t>
  </si>
  <si>
    <t>If an account is connected but someone adds a transaction manually — allowed? How does reconciliation with Plaid data work?</t>
  </si>
  <si>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</si>
  <si>
    <t>F1 sync spec: transaction-level dedup rule (match → ask → merge).</t>
  </si>
  <si>
    <t>30</t>
  </si>
  <si>
    <t>Cash flow · daily expenses &amp; income</t>
  </si>
  <si>
    <t>What's the flow to add day-to-day expenses (grocery, gas)? And to add income?</t>
  </si>
  <si>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</si>
  <si>
    <t>NEW Quick-add expense screen + '+' entry; income paths named on Cash flow.</t>
  </si>
  <si>
    <t>31</t>
  </si>
  <si>
    <t>Plan · will-it-last naming</t>
  </si>
  <si>
    <t>Should specify it's about retirement — what will last, till when?</t>
  </si>
  <si>
    <t>Adopted (same as comment 1): 'Will my money last? — to age 92' everywhere, with the plain sentence beneath the headline: 'In 84 of 100 possible market futures, your money lasts to age 92 — the age you set.'</t>
  </si>
  <si>
    <t>Renamed on every surface; age always shown.</t>
  </si>
  <si>
    <t>32</t>
  </si>
  <si>
    <t>Plan · Social Security math</t>
  </si>
  <si>
    <t>How is the amount calculated by age? Is this the Social Security Administration's formula?</t>
  </si>
  <si>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</si>
  <si>
    <t>Info dot + source note on the compare table.</t>
  </si>
  <si>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</si>
  <si>
    <t>Section</t>
  </si>
  <si>
    <t>Detail</t>
  </si>
  <si>
    <t>💬 Your comments</t>
  </si>
  <si>
    <t>WHAT CHANGED v1.0 → v1.1</t>
  </si>
  <si>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</si>
  <si>
    <t>WHAT THIS IS</t>
  </si>
  <si>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</si>
  <si>
    <t>HOW TO READ A SCREEN</t>
  </si>
  <si>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</si>
  <si>
    <t>BY THE NUMBERS</t>
  </si>
  <si>
    <t>37 screens/variants across 5 tabs · 94 data-lineage rows (every on-screen number traced to its one engine) · 13 net-new engine specs (safe-to-spend paycheck, account-sync seam, dated canonical grid, scenario composer + adoption contract, multi-goal weigher, scam flag, bond rate-sensitivity).</t>
  </si>
  <si>
    <t>WHAT COMES NEXT</t>
  </si>
  <si>
    <t>You review this + PRD v1.1 + the UX design together. On approval: build, module by module, reusing the canonical helpers and extending the cross-screen agreement-test pattern to every new engine (one concept → one engine → one number).</t>
  </si>
  <si>
    <t>Tab</t>
  </si>
  <si>
    <t>Screen</t>
  </si>
  <si>
    <t>Lens</t>
  </si>
  <si>
    <t>Purpose (one line)</t>
  </si>
  <si>
    <t>Build note</t>
  </si>
  <si>
    <t>🔨 Build status · 2026-07-14 (Build #41 · v1.1.0 on TestFlight)</t>
  </si>
  <si>
    <t>Home</t>
  </si>
  <si>
    <t>Home — still-working hero (Grow &amp; Track)</t>
  </si>
  <si>
    <t>working</t>
  </si>
  <si>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</si>
  <si>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</si>
  <si>
    <t>✅ Built — investments hero + what-needs-you + will-it-last; Home=Invest pin tested</t>
  </si>
  <si>
    <t>Home — retired hero (Safe to spend)</t>
  </si>
  <si>
    <t>retired</t>
  </si>
  <si>
    <t>The retiree's monthly paycheck at a glance: what's safe to spend THIS month (named month, real timing — never a flat yearly average), split into guaranteed money coming in and a safe draw from savings, plus the year figure. Calm by design: what needs you, and the steady will-it-last read.</t>
  </si>
  <si>
    <t>Hero card and its numbers are NET-NEW (F5 engine — the headline build of this release; PRD marks it MISSING). List, strip, header, tab bar REUSE screen 1 components. Do not wire the hero to cashflowYear's flat scalar — that is exactly the fake-average Principle 5 forbids.</t>
  </si>
  <si>
    <t>✅ Built — the paycheck leads, no flag; upgrade-from-#40 persona tested</t>
  </si>
  <si>
    <t>Worth a look — transaction detail (F10)</t>
  </si>
  <si>
    <t>both</t>
  </si>
  <si>
    <t>The calm close-up of a flagged transaction: the plain facts, why it stood out (in one honest comparison), and a two-button resolution. Reassures more than it warns — most flags are the person's own spending. Never alarmist, never the words fraud or alert in v1 copy.</t>
  </si>
  <si>
    <t>Entire screen NET-NEW, plus the F10 engine and two new persisted fields (flag record, known-payee list). Reuses Transaction data as-is — no schema change to existing fields. This is the thin v1: one rule set, one card, one detail view; no machine learning, no merchant databases.</t>
  </si>
  <si>
    <t>✅ Built — engine + detail + slot-1 card; scam/fraud/alert copy test-banned</t>
  </si>
  <si>
    <t>First run — what did you come for? (sets the lens)</t>
  </si>
  <si>
    <t>The progressive first-run from the approved high-level design: two friendly questions — what you came for, and whether you're still working — set the lens (which hero leads Home) and the tab order. Skippable with no dead end; everything is changeable later.</t>
  </si>
  <si>
    <t>NET-NEW light screen; closes the gap that the lens resolver read a stage no designed screen captured (verification finding #10). The connect flow itself is on the Net worth tab (already designed).</t>
  </si>
  <si>
    <t>✅ Built (/first-run + Settings → Your setup); insertion into new-user onboarding pending</t>
  </si>
  <si>
    <t>Home — first run (nothing connected yet)</t>
  </si>
  <si>
    <t>The empty Home never shows fake zeros or demo charts — it makes one promise (your real numbers, read-only) and offers exactly two doors in: connect an institution, or add something by hand. Shows what Home will become so the effort has a visible payoff.</t>
  </si>
  <si>
    <t>Layout NET-NEW (simple). Connect button blocks on the F1 seam (net-new, the PRD's top build item); add-by-hand REUSES the existing manual flow, so this screen can ship with by-hand only if F1 lands later — the connect button then reads 'Coming soon' honestly rather than hiding.</t>
  </si>
  <si>
    <t>🔨 Partial — honest empty state live; the FCC two-door layout pending</t>
  </si>
  <si>
    <t>Home — balances hidden (mask everything)</t>
  </si>
  <si>
    <t>Coffee-shop mode: one tap makes every money amount unreadable over a shoulder while the page stays fully useful — direction words, percentages, and the will-it-last chance remain. Same rule on the retired lens: all four paycheck dollars mask, month name and words stay.</t>
  </si>
  <si>
    <t>Pure REUSE: mechanism shipped (mask-ALL fixed in the build-33 round). Home rebuild work = discipline + a test: every new Home component must format money through useMoney(); add a UI test that walks Home with hideBalances on and asserts zero '$' characters render.</t>
  </si>
  <si>
    <t>✅ Built — the zero-$ mask walk is an automated test</t>
  </si>
  <si>
    <t>Home — stale connection + partial data</t>
  </si>
  <si>
    <t>Honesty when the pipes are imperfect: an old connection gets a calm, specific banner (which institution, since when, one fix button); every number touched by old data carries an 'as of' stamp; and anything we can't stand behind becomes an invitation, never a guess. Show what's true first.</t>
  </si>
  <si>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</si>
  <si>
    <t>🔨 Partial — price freshness live; connection banner waits on the bank-connect build</t>
  </si>
  <si>
    <t>Idle cash — nudge detail</t>
  </si>
  <si>
    <t>The designed landing for Home's idle-cash nudge (previously a dead-end): the fact, which accounts it sits in, and the plain comparison math of what that cash could earn — estimates, named rates, no instruction to act.</t>
  </si>
  <si>
    <t>NET-NEW light screen; closes walkthrough dead-end #1 (Home's marquee nudge led to an Invest tab with no cash section).</t>
  </si>
  <si>
    <t>✅ Built (/idle-cash) — nudge repointed, dead-end closed</t>
  </si>
  <si>
    <t>401(k) room this year — nudge detail</t>
  </si>
  <si>
    <t>The designed landing for Home's 401(k)-room nudge (previously pointing at a legacy screen): the limit, what's in, what's left, the per-month translation, and the honest 'change it at your employer' line. Links to the forward what-if to see the effect of using the room.</t>
  </si>
  <si>
    <t>NET-NEW light screen aligned with the live app's contribution-room surface; closes walkthrough dead-end #2.</t>
  </si>
  <si>
    <t>✅ Built — contribution-room screen + the try-it what-if prefill link</t>
  </si>
  <si>
    <t>Net worth</t>
  </si>
  <si>
    <t>Net worth tab — main screen</t>
  </si>
  <si>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</si>
  <si>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</si>
  <si>
    <t>🔨 Partial — live under the new tab; rows now open Account detail; FCC glance re-shell pending</t>
  </si>
  <si>
    <t>Connect flow — choose institution + honest consent</t>
  </si>
  <si>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</si>
  <si>
    <t>NET-NEW screen (F1). Reuses the existing sheet/navigation patterns and the KeyboardAwareSheet component; the server token exchange follows the existing functions/ proxy pattern. The chooser reuses the two existing paths untouched.</t>
  </si>
  <si>
    <t>⬜ Not built — bank connection sequenced last (sandbox keys live)</t>
  </si>
  <si>
    <t>Connect flow — accounts found + merge / reconcile</t>
  </si>
  <si>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</si>
  <si>
    <t>NET-NEW screen (F1), but thin: all writes go through existing store.addAsset/updateAsset; the merge sheet component is built once here and REUSED by Import v2 (screen 4). Matching logic is a small pure helper (unit-testable like holdingsImport).</t>
  </si>
  <si>
    <t>⬜ Not built — the never-double merge rule IS built and shared with Import v2</t>
  </si>
  <si>
    <t>Import from a file v2 — pick, review, merge</t>
  </si>
  <si>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</si>
  <si>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</si>
  <si>
    <t>✅ Built — institution required, update-not-twin merge, correctable classes</t>
  </si>
  <si>
    <t>Account detail — any class</t>
  </si>
  <si>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</si>
  <si>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</si>
  <si>
    <t>✅ Built (/account-detail) — per-class activity through the one ledger; freshness nudge</t>
  </si>
  <si>
    <t>Bond editor — add, buy, sell, as-of</t>
  </si>
  <si>
    <t>Track an individual bond or Treasury bill honestly: its face value, interest payments, maturity, a current value that carries its date (with a nudge when it goes stale), and — new in v1.1 — both buying more and selling recorded as visible history, not silent edits.</t>
  </si>
  <si>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</si>
  <si>
    <t>✅ Built (pre-existing, kept)</t>
  </si>
  <si>
    <t>Alternative editor — add, buy, sell, as-of</t>
  </si>
  <si>
    <t>Track anything that isn't a stock, bond or bank account — crypto, private funds, gold, annuities, option contracts — at a value you set, with that value carrying its date, a nudge when it goes stale, and buying/selling recorded as visible history (today: sale-only, and it leaves no trace).</t>
  </si>
  <si>
    <t>REUSE: the whole AltEditor form, hints, benchmarks, sale confirmations and delete flow. Net-new: value_as_of + nudge, Buy-more, and routing buy/sell through recordTransaction — same small seam as the bond editor, shared action-sheet component.</t>
  </si>
  <si>
    <t>Invest</t>
  </si>
  <si>
    <t>Invest — main (glance then drill)</t>
  </si>
  <si>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</si>
  <si>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</si>
  <si>
    <t>🔨 Partial — glance header + Home pin done; drill re-shell pending</t>
  </si>
  <si>
    <t>Holding detail — stock / fund (equity)</t>
  </si>
  <si>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</si>
  <si>
    <t>Mostly EXISTING data + components; the page itself is NET-NEW as a routed detail screen (today PerformanceScreen shows expandable rows, not a full-screen drill). Low risk: it is a re-layout of tested helpers.</t>
  </si>
  <si>
    <t>⬜ Not built — per-holding returns show inline on the Invest table meanwhile</t>
  </si>
  <si>
    <t>Holding detail — bond</t>
  </si>
  <si>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</si>
  <si>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</si>
  <si>
    <t>✅ Built — facts + yields + the rates-move estimate, on Account detail</t>
  </si>
  <si>
    <t>Holding detail — alternative (crypto, gold, private stakes, annuities, other)</t>
  </si>
  <si>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</si>
  <si>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</si>
  <si>
    <t>✅ Built — typical return + reported return + look-back door, on Account detail</t>
  </si>
  <si>
    <t>Look back — what if I'd moved money?</t>
  </si>
  <si>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</si>
  <si>
    <t>NET-NEW screen + one small pure helper; all price data and pickers exist. Ship behind the Invest main card. Keep the forward what-if (sliders, on the Plan/Invest boundary per high-level design) visually distinct: forward uses sliders + range, backward uses dropdowns + exact past numbers.</t>
  </si>
  <si>
    <t>✅ Built (/look-back) — real past prices only; design example pinned to the dollar</t>
  </si>
  <si>
    <t>What if I add more? (forward what-if)</t>
  </si>
  <si>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</si>
  <si>
    <t>Engines EXIST (projectNestEgg, simulate band); screen is NET-NEW and satisfies the approved high-level design's Invest what-if (verification blocker #2). Distinct-from-Look-back rule per the Look-back build note.</t>
  </si>
  <si>
    <t>✅ Built (/what-if) — before-chance = hub chance, pinned; prefill wired</t>
  </si>
  <si>
    <t>Record a transaction + History</t>
  </si>
  <si>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</si>
  <si>
    <t>Fully EXISTING (TransactionSheet + HistorySheet + ledger engine). Work is placement: surface both from the Invest tab and every detail page, and add COUPON/alt-sale rows to the visible history copy (types already exist in the ledger).</t>
  </si>
  <si>
    <t>Empty, stale, hidden &amp; loading states</t>
  </si>
  <si>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</si>
  <si>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</si>
  <si>
    <t>🔨 Partial — mask + freshness pinned by tests; the written state contract pending</t>
  </si>
  <si>
    <t>Cash flow</t>
  </si>
  <si>
    <t>Cash flow main — retired</t>
  </si>
  <si>
    <t>Retired</t>
  </si>
  <si>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</si>
  <si>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</si>
  <si>
    <t>✅ Built — hero + dated bars + draw-order preview + will-it-last strip</t>
  </si>
  <si>
    <t>Cash flow main — working</t>
  </si>
  <si>
    <t>Working</t>
  </si>
  <si>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</si>
  <si>
    <t>Mostly a re-arrangement of what CashFlowScreen.tsx already computes; the two real changes are (1) swapping its calendar January-December grids for the dated F2 grid, and (2) the net-new projection card via F5's projection mode.</t>
  </si>
  <si>
    <t>✅ Built — in/out/surplus + commitments seam + the projection card</t>
  </si>
  <si>
    <t>Month detail</t>
  </si>
  <si>
    <t>Both (retired example shown)</t>
  </si>
  <si>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</si>
  <si>
    <t>Net-new screen, but it is a pure renderer over one F2/F5 cell — no math of its own. Cheapest correct build: pass the cell object in and forbid any recomputation in the component (mirrors the one-concept-one-helper rule).</t>
  </si>
  <si>
    <t>✅ Built (/month-detail) — pure cell renderer; rows-sum pin tested</t>
  </si>
  <si>
    <t>Bill calendar v2</t>
  </si>
  <si>
    <t>Both</t>
  </si>
  <si>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</si>
  <si>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</si>
  <si>
    <t>🔨 Partial — v1 calendar linked everywhere; running-balance table pending</t>
  </si>
  <si>
    <t>Draw-order steer sheet</t>
  </si>
  <si>
    <t>Retired (working sees it in projection mode)</t>
  </si>
  <si>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</si>
  <si>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</si>
  <si>
    <t>🔨 Partial — order preview + the Why sheet live; steering pending</t>
  </si>
  <si>
    <t>Your monthly income (Social Security · pension · annuity)</t>
  </si>
  <si>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</si>
  <si>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</si>
  <si>
    <t>✅ Built — the retired fast-path door</t>
  </si>
  <si>
    <t>Plan</t>
  </si>
  <si>
    <t>Plan hub</t>
  </si>
  <si>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</si>
  <si>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</si>
  <si>
    <t>✅ Built — band, decisions, scenarios, revert, sharpen meter</t>
  </si>
  <si>
    <t>Social Security claim timing</t>
  </si>
  <si>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</si>
  <si>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</si>
  <si>
    <t>✅ Built (/ss-timing) — SSA table pinned to the design dollars; adoption + revert tested</t>
  </si>
  <si>
    <t>Multi-goal trade-off composer</t>
  </si>
  <si>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</si>
  <si>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</si>
  <si>
    <t>✅ Built (/multi-goal) — verdict vs canonical capacity; commitments named on Cash flow</t>
  </si>
  <si>
    <t>Roth conversion (simple scenario)</t>
  </si>
  <si>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</si>
  <si>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</si>
  <si>
    <t>🔨 Partial — existing calculator linked from the hub; scenario adoption pending</t>
  </si>
  <si>
    <t>Retirement transition + required withdrawals</t>
  </si>
  <si>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</si>
  <si>
    <t>Engine EXISTS (rmdAtAge, divisors, ledger, completeness); the screen, taken-so-far tagging, and year projection wiring are NET-NEW. This screen satisfies the Plan hub's 'Retirement transition + required withdrawals' row — previously referenced but undesigned (verification blocker #1).</t>
  </si>
  <si>
    <t>🔨 Partial — rmd-due insight + hub row land on the cockpit; dedicated screen pending</t>
  </si>
  <si>
    <t>Use this plan (adoption sheet -- shared component)</t>
  </si>
  <si>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</si>
  <si>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</si>
  <si>
    <t>✅ Built — the shared adoption sheet; one write path, always revertible</t>
  </si>
  <si>
    <t>Will-it-last detail</t>
  </si>
  <si>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</si>
  <si>
    <t>Engine fully EXISTS (simulate with band, completeness, fallback derivations). NET-NEW: this screen, the sensitivity sweep, source tagging (null-field check is trivial), and routing edits through the one-row preview instead of the silent write the cockpit does today.</t>
  </si>
  <si>
    <t>✅ Built (/will-it-last) — sourced drivers, one-selector headline pinned</t>
  </si>
  <si>
    <t>Onboarding flow map (first run, end to end)</t>
  </si>
  <si>
    <t>Five steps from install to a Home with real numbers; every step skippable; no dead ends.</t>
  </si>
  <si>
    <t>NET-NEW light flow over existing screens (M1).</t>
  </si>
  <si>
    <t>⬜ Not built — existing onboarding carries new users meanwhile</t>
  </si>
  <si>
    <t>Add or edit an account by hand (dynamic by class)</t>
  </si>
  <si>
    <t>One dynamic manual-add screen; fields adapt per class; edit mode = manual update.</t>
  </si>
  <si>
    <t>NET-NEW screen unifying existing editors (M1/c15/c16).</t>
  </si>
  <si>
    <t>⬜ Not built — the existing AssetSheet editor remains</t>
  </si>
  <si>
    <t>Quick-add expense (the + sheet)</t>
  </si>
  <si>
    <t>Two-tap expense logging from anywhere via the top-bar '+'; also bills/accounts/money-in.</t>
  </si>
  <si>
    <t>NET-NEW sheet over existing expenses store (M3/c30).</t>
  </si>
  <si>
    <t>✅ Built — the '+ Expense' button + shared sheet on Home and Cash flow</t>
  </si>
  <si>
    <t>Screen / element</t>
  </si>
  <si>
    <t>Wireframe (phone) or what it shows</t>
  </si>
  <si>
    <t>Data lineage (engine)</t>
  </si>
  <si>
    <t>Fields</t>
  </si>
  <si>
    <t>Sameness pin</t>
  </si>
  <si>
    <t>▶ Home — still-working hero (Grow &amp; Track)  ·  lens: working</t>
  </si>
  <si>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</si>
  <si>
    <t>WIREFRAME</t>
  </si>
  <si>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</si>
  <si>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</si>
  <si>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</si>
  <si>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</si>
  <si>
    <t xml:space="preserve">   Greeting</t>
  </si>
  <si>
    <t>Time-of-day greeting plus first name: 'Good morning, Pat'. Warm, no data.</t>
  </si>
  <si>
    <t>EXISTING: greeting() + name resolution in src/screens/HomeScreen.tsx (falls back store.user.name → onboarding name → 'there'); first_name lives in src/domain/profile/onboarding.ts</t>
  </si>
  <si>
    <t>store.user.name, onboarding profile first_name, device clock hour</t>
  </si>
  <si>
    <t>Same name as Settings profile row</t>
  </si>
  <si>
    <t xml:space="preserve">   Hide-balances eye toggle</t>
  </si>
  <si>
    <t>An eye icon; tapping it masks every money amount in the whole app as •••• (and back). Percentages and the will-it-last chance stay visible — they are not balances.</t>
  </si>
  <si>
    <t>EXISTING: useStore.hideBalances + toggleHideBalances (src/store/useStore.ts); mask rendering via useMoney()/BALANCE_MASK (src/components/useMoney.ts); toggle pattern already in src/components/TopBar.tsx</t>
  </si>
  <si>
    <t>hideBalances (boolean, one global flag)</t>
  </si>
  <si>
    <t>One global flag — when on, EVERY dollar figure on every tab is masked; no screen may show a raw balance</t>
  </si>
  <si>
    <t xml:space="preserve">   Settings gear [=]</t>
  </si>
  <si>
    <t>Opens Settings (profile, connected accounts, hide-balances switch, sign out).</t>
  </si>
  <si>
    <t>EXISTING: route to app/(tabs)/settings.tsx</t>
  </si>
  <si>
    <t>none</t>
  </si>
  <si>
    <t>n/a</t>
  </si>
  <si>
    <t xml:space="preserve">   Hero — total investments</t>
  </si>
  <si>
    <t>One big number: the value of everything invested (brokerage + retirement accounts), e.g. $843,700. Glanceable in two seconds.</t>
  </si>
  <si>
    <t>EXISTING: investmentsTotal(accounts) in src/domain/assets/index.ts, over rows from resolveNetWorthRows (src/domain/snapshot.ts)</t>
  </si>
  <si>
    <t>AssetAccount.balance, positions (shares × latest price), cash_balance sleeve; asset class per assetClassOf</t>
  </si>
  <si>
    <t>Must equal the Invest tab header total and the 'Investments' section of the Net worth tab, to the dollar</t>
  </si>
  <si>
    <t xml:space="preserve">   Hero — change this month</t>
  </si>
  <si>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</si>
  <si>
    <t>EXISTING: portfolioTrend + portfolioPeriodReturn (src/domain/performance/index.ts) over buildPerformance rows</t>
  </si>
  <si>
    <t>position shares, cost basis lots, daily price series (services/marketData)</t>
  </si>
  <si>
    <t>Must equal the 1-month figure on the Invest tab's performance section</t>
  </si>
  <si>
    <t xml:space="preserve">   Hero — compared to the market</t>
  </si>
  <si>
    <t>'you +1.4% · market +0.9% · ahead by 0.5%' — the same period's return for the matching market yardstick, in plain words (never the word 'benchmark' on screen).</t>
  </si>
  <si>
    <t>EXISTING: periodReturn(series, period) + BENCHMARK_TICKER mapping (src/domain/performance/index.ts)</t>
  </si>
  <si>
    <t>benchmark ticker price series per holding kind; portfolio period return</t>
  </si>
  <si>
    <t>Must equal the versus-market line on the Performance screen for the same period</t>
  </si>
  <si>
    <t xml:space="preserve">   Hero — prices as-of stamp</t>
  </si>
  <si>
    <t>'prices as of 4:00pm today' — when the prices behind the number were last fetched. Turns into a plain warning when old (see stale state).</t>
  </si>
  <si>
    <t>EXISTING: priceFreshness(fetchedAt, now) in src/services/marketData.ts</t>
  </si>
  <si>
    <t>price fetch timestamps per ticker</t>
  </si>
  <si>
    <t>Same freshness wording as the Performance screen's freshness line</t>
  </si>
  <si>
    <t xml:space="preserve">   Net worth line</t>
  </si>
  <si>
    <t>One quiet line under the hero: total net worth with direction word+arrow. Taps to the Net worth tab.</t>
  </si>
  <si>
    <t>EXISTING: resolveNetWorthRows (src/domain/snapshot.ts) → totalAssets minus debts → buildNetWorth (src/domain/networth/index.ts)</t>
  </si>
  <si>
    <t>live accounts + liabilities (or onboarding-derived rows for a brand-new user, per resolveNetWorthRows's single rule)</t>
  </si>
  <si>
    <t>Must equal the top-bar net-worth chip and the Net worth tab total (this pin already exists — B-49; guarded by src/domain/home_integration.test.ts)</t>
  </si>
  <si>
    <t xml:space="preserve">   What needs you (list)</t>
  </si>
  <si>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</si>
  <si>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</si>
  <si>
    <t>InsightInput: cashMonths, toxicDebt, k401Remaining, hasEarnedIncome, retireChance, cashDragPct, topAccountPct, planPct, beatBy, investRate; plus open F10 flags</t>
  </si>
  <si>
    <t>The same 3 items, same order, same dollar figures as the top of the Insights screen (one engine, one input, one ranking)</t>
  </si>
  <si>
    <t xml:space="preserve">   What-needs-you item 1 — idle cash</t>
  </si>
  <si>
    <t>'$18,400 cash earning about $0' — how much cash is sitting idle. Fact only; the destination screen holds the options.</t>
  </si>
  <si>
    <t>EXISTING: cashTotal(accounts) + cashDragPct input to the 'cash-drag' rule (src/domain/assets/index.ts, src/domain/insights/index.ts)</t>
  </si>
  <si>
    <t>cash-class account balances ÷ investableAssets</t>
  </si>
  <si>
    <t>Dollar figure must equal the Invest tab's cash total</t>
  </si>
  <si>
    <t xml:space="preserve">   What-needs-you item 2 — 401(k) room</t>
  </si>
  <si>
    <t>'$9,200 of 401(k) room left this year' — remaining space in the workplace retirement account. Only shows for someone with wages (already guarded — B-48).</t>
  </si>
  <si>
    <t>EXISTING: k401Headroom(age, annual401kContribution) in src/domain/income/limits.ts, surfaced by the 'k401-room' rule</t>
  </si>
  <si>
    <t>age, year-to-date 401(k) contributions, IRS_LIMITS table</t>
  </si>
  <si>
    <t>Must equal the contribution-room screen's headline number</t>
  </si>
  <si>
    <t xml:space="preserve">   What-needs-you item 3 — one-account concentration</t>
  </si>
  <si>
    <t>'$353,800 (42%) sits in one account' — dollars first, honest wording per account not per stock (B-45).</t>
  </si>
  <si>
    <t>EXISTING: topAccountPct input to the 'concentration' rule (src/domain/insights/index.ts); dollar figure = largest account value from resolveNetWorthRows rows</t>
  </si>
  <si>
    <t>largest single investment account value, investableAssets</t>
  </si>
  <si>
    <t>Same account and figure the Performance screen shows when tapped through</t>
  </si>
  <si>
    <t xml:space="preserve">   Will-it-last strip</t>
  </si>
  <si>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</si>
  <si>
    <t>EXISTING: chance_of_success from simulate()/buildRetirementState (src/domain/retirement/index.ts), read from the saved RetirementState</t>
  </si>
  <si>
    <t>stored RetirementState.chance_of_success + assumptions</t>
  </si>
  <si>
    <t>THE pin of the tab: must be byte-identical to the Plan tab's number and to the retireChance the insights engine sees (Principle 6 — one home, everyone else displays it)</t>
  </si>
  <si>
    <t xml:space="preserve">   Bottom tab bar</t>
  </si>
  <si>
    <t>Home · Net worth · Invest · Cash flow · Plan (working order). Fully labeled words, active tab marked by label + underline, never color alone.</t>
  </si>
  <si>
    <t>EXISTING: app/(tabs)/_layout.tsx tab structure; NET-NEW: lens resolver picks the default order from the person's stage in the onboarding profile</t>
  </si>
  <si>
    <t>onboarding profile stage (working vs retired)</t>
  </si>
  <si>
    <t>Tab order is set once from stage; identical across app sessions</t>
  </si>
  <si>
    <t xml:space="preserve">   Info dots — investments · the market · net worth (c1/c2/c3)</t>
  </si>
  <si>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</si>
  <si>
    <t>Glossary InfoDot (exists in live app); definitions match the canonical helpers.</t>
  </si>
  <si>
    <t>One glossary entry per term app-wide.</t>
  </si>
  <si>
    <t xml:space="preserve">   '+ Expense' floating button — DECIDED 2026-07-12 (M4 resolution)</t>
  </si>
  <si>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</si>
  <si>
    <t>NET-NEW floating button → the Quick-add expense form (Cash flow tab). Chip removal: TopBar.tsx net-worth chip deleted; B-49 pin unaffected (it pins Home = Net worth tab).</t>
  </si>
  <si>
    <t>none (navigation)</t>
  </si>
  <si>
    <t>Exactly two screens (Home, Cash flow), same corner, same label — one habit, one spot. Lists on those screens get bottom padding so the button never covers the last row.</t>
  </si>
  <si>
    <t xml:space="preserve">   STATES</t>
  </si>
  <si>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</si>
  <si>
    <t>▶ Home — retired hero (Safe to spend)  ·  lens: retired</t>
  </si>
  <si>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</si>
  <si>
    <t>BUILD NOTE:
Hero card and its numbers are NET-NEW (F5 engine — the headline build of this release; PRD marks it MISSING). List, strip, header, tab bar REUSE screen 1 components. Do not wire the hero to cashflowYear's flat scalar — that is exactly the fake-average Principle 5 forbids.</t>
  </si>
  <si>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</si>
  <si>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</si>
  <si>
    <t xml:space="preserve">   Hero — Safe to spend, this month (month-named)</t>
  </si>
  <si>
    <t>'SAFE TO SPEND — JULY: $5,840 this month' with the word 'estimate' directly under it. July's REAL number: this month's actual guaranteed income timing minus this month's known big bills, plus the safe draw — not one-twelfth of a yearly average (Principle 5).</t>
  </si>
  <si>
    <t>NET-NEW: F5 month-by-month retirement-paycheck engine (proposed src/domain/paycheck/index.ts, buildPaycheckYear) — the current cashflowYear (src/domain/cashflow/index.ts) spreads retiree income as a flat scalar and must NOT be used for this</t>
  </si>
  <si>
    <t>per-month guaranteed income placements, dated big bills, nest egg (investableAssets, src/domain/assets/index.ts), safe-draw rate, required-withdrawal amount when 73+ (rmdAtAge, src/domain/decumulation/index.ts)</t>
  </si>
  <si>
    <t>Must equal the current-month row of the Cash flow tab's paycheck view exactly — one engine, Home displays its output</t>
  </si>
  <si>
    <t xml:space="preserve">   Hero — Guaranteed line</t>
  </si>
  <si>
    <t>'Guaranteed $4,200 — Social Security + pension' (always spelled out). Money that arrives no matter what markets do.</t>
  </si>
  <si>
    <t>EXISTING inputs: retirementIncomeMonthly(op) in src/domain/income/onboarding.ts (Social Security + pension monthly), placed into real months by the NET-NEW F5 engine</t>
  </si>
  <si>
    <t>onboarding profile Social Security monthly, pension monthly, any annuity; month each lands</t>
  </si>
  <si>
    <t>Must equal Plan's guaranteed-income figure and snapshot.guaranteed_monthly_income (src/domain/snapshot.ts line ~79) — the B-31 pin</t>
  </si>
  <si>
    <t xml:space="preserve">   Hero — Safe draw line</t>
  </si>
  <si>
    <t>'Safe draw $1,640 — from your savings': the amount the plan says can come out of savings this month without putting the long run at risk.</t>
  </si>
  <si>
    <t>NET-NEW: F5 engine, reusing the withdrawalPlan(spendMonthly, guaranteedMonthly, nestEgg) shape from src/domain/decumulation/index.ts as its starting logic</t>
  </si>
  <si>
    <t>nest egg (investableAssets), guaranteed monthly, safe-draw rate assumption (shown in Plan)</t>
  </si>
  <si>
    <t>PIN: guaranteed + safe draw − big bills landing this month = the this-month figure to the dollar, on Home AND Cash flow (agreement test). The bills line appears on Home whenever it is non-zero — the card must visibly sum in every month.</t>
  </si>
  <si>
    <t xml:space="preserve">   Hero — This year figure</t>
  </si>
  <si>
    <t>'This year ~$71,600 — varies month to month': the 12 real months added up, with the tilde and caption making clear months differ (a big pension payment in March, property tax in November).</t>
  </si>
  <si>
    <t>NET-NEW: F5 engine year roll-up (sum of the 12 per-month rows)</t>
  </si>
  <si>
    <t>the 12 monthly safe-to-spend rows</t>
  </si>
  <si>
    <t>Must equal the Cash flow paycheck year view total</t>
  </si>
  <si>
    <t xml:space="preserve">   Button — See July's paycheck</t>
  </si>
  <si>
    <t>One button, named with the real month, opening the Cash flow tab's paycheck view (month rows, bill timing, the why).</t>
  </si>
  <si>
    <t>route to Cash flow tab (F5's canonical home)</t>
  </si>
  <si>
    <t>current month</t>
  </si>
  <si>
    <t xml:space="preserve">   What needs you (retired mix)</t>
  </si>
  <si>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</si>
  <si>
    <t>EXISTING buildInsights (src/domain/insights/index.ts) + NET-NEW rule using rmdAtAge/RMD_START_AGE (src/domain/decumulation/index.ts) + NET-NEW F10 flags</t>
  </si>
  <si>
    <t>pre-tax balance (taxBucketSplit), age, open flags, InsightInput</t>
  </si>
  <si>
    <t>Identical items/order/dollars as Insights screen top 3; withdrawal figure must equal Plan's required-withdrawal note</t>
  </si>
  <si>
    <t xml:space="preserve">   Worth-a-look card (F10, in-list)</t>
  </si>
  <si>
    <t>Calm single line: '◆ Worth a look: $2,400 went out of checking, Tue — See &gt;'. Magnifying-glass icon + the words 'Worth a look' (never a red badge, never the words fraud/alert). States the fact; the person decides.</t>
  </si>
  <si>
    <t>NET-NEW: F10 single-transaction flag engine (proposed src/domain/transactions/flags.ts) over the existing Transaction record (src/domain/transactions/index.ts)</t>
  </si>
  <si>
    <t>Transaction.date, type, account_id, amount, note; flag reason + status</t>
  </si>
  <si>
    <t>Amount, account and date must match the detail view and the transaction row in Cash flow exactly</t>
  </si>
  <si>
    <t>Same strip as the working lens — same stored number, same wording, same 'estimate' label.</t>
  </si>
  <si>
    <t>EXISTING: stored RetirementState.chance_of_success (src/domain/retirement/index.ts)</t>
  </si>
  <si>
    <t>chance_of_success</t>
  </si>
  <si>
    <t>Byte-identical to Plan tab and working-lens Home</t>
  </si>
  <si>
    <t xml:space="preserve">   Bottom tab bar (retired order)</t>
  </si>
  <si>
    <t>Home · Cash flow · Net worth · Plan · Invest — the retiree's default order (paycheck next to Home), set automatically from stage; editing order is a later phase.</t>
  </si>
  <si>
    <t>NET-NEW: lens resolver from onboarding profile stage</t>
  </si>
  <si>
    <t>profile stage</t>
  </si>
  <si>
    <t>Order fixed per lens</t>
  </si>
  <si>
    <t xml:space="preserve">   Safe-draw explainer (the 'says who?' dot)</t>
  </si>
  <si>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</si>
  <si>
    <t>NET-NEW shared explainer sheet; content = the F5 derivation (engine spec) said once, plainly; the try-it link opens the Plan scenario with spending pre-nudged.</t>
  </si>
  <si>
    <t>none (explainer)</t>
  </si>
  <si>
    <t>One sheet, identical wording on Home and Cash flow — the single biggest number in the retired lens is never un-sourced.</t>
  </si>
  <si>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</si>
  <si>
    <t>▶ Worth a look — transaction detail (F10)  ·  lens: both</t>
  </si>
  <si>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</si>
  <si>
    <t>BUILD NOTE:
Entire screen NET-NEW, plus the F10 engine and two new persisted fields (flag record, known-payee list). Reuses Transaction data as-is — no schema change to existing fields. This is the thin v1: one rule set, one card, one detail view; no machine learning, no merchant databases.</t>
  </si>
  <si>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</si>
  <si>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</si>
  <si>
    <t xml:space="preserve">   Fact block (amount, account, date, payee)</t>
  </si>
  <si>
    <t>'$2,400 left your Chase checking on Tue, Jun 30. Paid to: APEX SOLUTIONS.' Pure facts from the transaction record — nothing inferred.</t>
  </si>
  <si>
    <t>EXISTING record: Transaction (src/domain/transactions/index.ts) fields; account name via resolveNetWorthRows rows</t>
  </si>
  <si>
    <t>Transaction.amount, date, account_id, note (payee text), type</t>
  </si>
  <si>
    <t>Must match the Home card and the same row in the Cash flow activity list to the penny and the day</t>
  </si>
  <si>
    <t xml:space="preserve">   Why we're showing this</t>
  </si>
  <si>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</si>
  <si>
    <t>NET-NEW: F10 flag engine output {reason, comparison} (proposed src/domain/transactions/flags.ts)</t>
  </si>
  <si>
    <t>flag.reason, flag.comparison (the typical-amount figure used), the 90-day history it was computed from</t>
  </si>
  <si>
    <t>The 'usual amount' shown here is the exact figure the rule used — stored on the flag at flag time, so the explanation never drifts from the decision</t>
  </si>
  <si>
    <t xml:space="preserve">   Button — Yes, this was me</t>
  </si>
  <si>
    <t>Primary, friendly. One tap: card leaves Home, flag saved as resolved-by-me, and for a first-time-payee flag the payee is remembered as known (so it never asks about them again).</t>
  </si>
  <si>
    <t>NET-NEW: F10 resolve action (flag.status → 'was_me', known-payee list append)</t>
  </si>
  <si>
    <t>flag.status, resolved_at, known_payees per account</t>
  </si>
  <si>
    <t>Resolved flags never reappear on Home; they remain visible in the transaction's row detail</t>
  </si>
  <si>
    <t xml:space="preserve">   Button — Something's off, show me what to do</t>
  </si>
  <si>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</si>
  <si>
    <t>NET-NEW: F10 resolve action (flag.status → 'flagged') + static checklist view</t>
  </si>
  <si>
    <t>flag.status, user note</t>
  </si>
  <si>
    <t>A flagged item stays counted in What-needs-you (as 'You flagged $2,400 — settled?') until closed, on both lenses</t>
  </si>
  <si>
    <t xml:space="preserve">   Reassurance footer</t>
  </si>
  <si>
    <t>'We can only look at your accounts — we can never move or block money. Your bank can.' Anchors the read-only promise at the exact moment of worry.</t>
  </si>
  <si>
    <t>static copy (mirrors the F1 read-only connection promise)</t>
  </si>
  <si>
    <t>Same read-only wording as the connect-account screen</t>
  </si>
  <si>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</si>
  <si>
    <t>▶ First run — what did you come for? (sets the lens)  ·  lens: both</t>
  </si>
  <si>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</si>
  <si>
    <t>BUILD NOTE:
NET-NEW light screen; closes the gap that the lens resolver read a stage no designed screen captured (verification finding #10). The connect flow itself is on the Net worth tab (already designed).</t>
  </si>
  <si>
    <t>INTERACTIONS:
Pick + Continue -&gt; first-run Home; 'retirement paycheck' + retired leads with the Monthly-income fast-path door (enter Social Security + pension first, connect later or never). Skip -&gt; first-run Home with defaults. Settings -&gt; reopen anytime.</t>
  </si>
  <si>
    <t>ACCESSIBILITY:
Radio groups with full labels; the consequence sentence ('this sets up your Home and tab order') is read before the choices. Large targets; no time pressure.</t>
  </si>
  <si>
    <t xml:space="preserve">   What-did-you-come-for pick</t>
  </si>
  <si>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</si>
  <si>
    <t>NET-NEW: intent field on the onboarding profile (src/domain/profile/onboarding.ts); consumed by the first-run Home's suggestion order.</t>
  </si>
  <si>
    <t>intent ('grow' | 'paycheck' | 'whole_picture')</t>
  </si>
  <si>
    <t>Intent only orders suggestions; it never changes any number anywhere.</t>
  </si>
  <si>
    <t xml:space="preserve">   Stage question (still working / retired)</t>
  </si>
  <si>
    <t>The one answer that flexes the whole app: working -&gt; Grow &amp; Track hero + working tab order; retired -&gt; Safe-to-spend hero + retired tab order.</t>
  </si>
  <si>
    <t>EXISTING profile: stage derived from onboarding (src/domain/profile/onboarding.ts) — this screen is the designed capture point the lens resolver reads (Home lens resolver element).</t>
  </si>
  <si>
    <t>stage ('working' | 'retired')</t>
  </si>
  <si>
    <t>PIN: the lens set here = the tab order and hero on every later screen — one stage field, read by the one lens resolver.</t>
  </si>
  <si>
    <t xml:space="preserve">   Skip — just explore</t>
  </si>
  <si>
    <t>Skips both questions: defaults to the whole-picture intent + working lens, Home opens in its honest empty state. No dead end, no nagging.</t>
  </si>
  <si>
    <t>Defaults in the lens resolver; first-run Home (already designed) handles the empty state.</t>
  </si>
  <si>
    <t>defaults</t>
  </si>
  <si>
    <t>Skipping never produces different numbers — only default ordering.</t>
  </si>
  <si>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</si>
  <si>
    <t>▶ Home — first run (nothing connected yet)  ·  lens: both</t>
  </si>
  <si>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</si>
  <si>
    <t>BUILD NOTE:
Layout NET-NEW (simple). Connect button blocks on the F1 seam +C52(net-new, the PRD's top build item); add-by-hand REUSES the existing manual flow, so this screen can ship with by-hand only if F1 lands later — the connect button then reads 'Coming soon' honestly rather than hiding.</t>
  </si>
  <si>
    <t>INTERACTIONS:
Tap connect → institution picker (F1 flow). Tap add-by-hand → existing manual add. Tabs remain tappable — each shows its own empty state rather than trapping the user on Home. Pull-to-refresh disabled (nothing to refresh).</t>
  </si>
  <si>
    <t>ACCESSIBILITY:
Both doors are full-width ≥48pt buttons announced with their sub-lines ('Connect your first account, takes about 2 minutes, read-only'). Illustration marked decorative (skipped by screen readers). Preview list is a proper list for rotor navigation.</t>
  </si>
  <si>
    <t xml:space="preserve">   Connect your first account (button)</t>
  </si>
  <si>
    <t>Primary button into the account-linking flow (banks, brokerages, retirement accounts, credit cards, loans). Sub-line carries the two trust facts: about 2 minutes, and read-only.</t>
  </si>
  <si>
    <t>NET-NEW: F1 secure read-only account-sync seam (provider module + Connection record — PRD gap: no aggregator module exists in the repo today)</t>
  </si>
  <si>
    <t>creates Connection {institution, status, last_successful_update} + AssetAccount rows on success</t>
  </si>
  <si>
    <t>The read-only promise wording here = the worth-a-look footer = Settings connections screen</t>
  </si>
  <si>
    <t xml:space="preserve">   Add something by hand (button)</t>
  </si>
  <si>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</si>
  <si>
    <t>EXISTING: manual add-account flow (Net worth tab; account kinds from ASSET_KINDS in src/domain/assets/index.ts)</t>
  </si>
  <si>
    <t>AssetAccount kind, balance, label</t>
  </si>
  <si>
    <t>Manually added rows appear identically on Net worth and inside totals everywhere</t>
  </si>
  <si>
    <t xml:space="preserve">   What you'll see here (preview list)</t>
  </si>
  <si>
    <t>Three plain lines previewing the real Home: whole picture, what needs you in dollars, honest odds. Words only — no fake example numbers that could be mistaken for data.</t>
  </si>
  <si>
    <t>static copy</t>
  </si>
  <si>
    <t>The three promises correspond one-to-one to the three real Home blocks (hero, What-needs-you, will-it-last)</t>
  </si>
  <si>
    <t xml:space="preserve">   Greeting / header</t>
  </si>
  <si>
    <t>'Welcome, Pat' if a name exists from sign-up, else 'Welcome'. Eye and gear present but eye is inert (nothing to hide) — kept so the header never rearranges later.</t>
  </si>
  <si>
    <t>EXISTING: name resolution in src/screens/HomeScreen.tsx</t>
  </si>
  <si>
    <t>store.user.name</t>
  </si>
  <si>
    <t>Header layout identical to populated Home</t>
  </si>
  <si>
    <t xml:space="preserve">   Retired-intent income fast-path</t>
  </si>
  <si>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</si>
  <si>
    <t>intent + stage from the first-run screen; navigation to the Monthly-income screen (Cash flow tab).</t>
  </si>
  <si>
    <t>intent, stage</t>
  </si>
  <si>
    <t>The amounts land in the same ri_* fields the hero reads — instant, honest payoff.</t>
  </si>
  <si>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</si>
  <si>
    <t>▶ Home — balances hidden (mask everything)  ·  lens: both</t>
  </si>
  <si>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</si>
  <si>
    <t>BUILD NOTE:
Pure REUSE: mechanism shipped (mask-ALL fixed in the build-33 round). Home rebuild work = discipline + a test: every new Home component must format money through useMoney(); add a UI test that walks Home with hideBalances on and asserts zero '$' characters render.</t>
  </si>
  <si>
    <t>INTERACTIONS:
Tap eye anywhere → toggle globally. Everything else behaves exactly as the unmasked screen — navigation is never disabled by hiding.</t>
  </si>
  <si>
    <t>ACCESSIBILITY:
Masked values announce as 'hidden' (not 'bullet bullet bullet'). Eye announces 'Show balances' when hidden — labels already exist in src/components/TopBar.tsx. The banner is polite-priority for screen readers (announced once, not repeated per element).</t>
  </si>
  <si>
    <t xml:space="preserve">   Mask rule</t>
  </si>
  <si>
    <t>EVERY dollar figure app-wide renders as •••• (hero, breakdowns, attention items, net worth, detail views — including the worth-a-look amounts). Percentages, ratios in words ('8 times your usual'), dates, and the will-it-last chance stay: they are readings, not balances.</t>
  </si>
  <si>
    <t>EXISTING: useMoney().m / .compact returning BALANCE_MASK when hideBalances is on (src/components/useMoney.ts); flag in src/store/useStore.ts</t>
  </si>
  <si>
    <t>hideBalances</t>
  </si>
  <si>
    <t>One flag, no exceptions — a build gate audits that no Home component calls the raw money() formatter for a balance (this was the mask-ALL fix from the build-33 device test)</t>
  </si>
  <si>
    <t xml:space="preserve">   Hidden banner</t>
  </si>
  <si>
    <t>One-line reminder under the header: 'Balances hidden — tap the eye to show'. Present on every tab while hidden.</t>
  </si>
  <si>
    <t>EXISTING pattern: TopBar eye + accessibility labels (src/components/TopBar.tsx)</t>
  </si>
  <si>
    <t>Same line, same position on all five tabs</t>
  </si>
  <si>
    <t xml:space="preserve">   Eye (off) toggle</t>
  </si>
  <si>
    <t>Eye-with-slash icon; tapping restores instantly. No confirmation, no animation delay.</t>
  </si>
  <si>
    <t>EXISTING: toggleHideBalances (src/store/useStore.ts)</t>
  </si>
  <si>
    <t>State persists across app restarts and both lenses</t>
  </si>
  <si>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</si>
  <si>
    <t>▶ Home — stale connection + partial data  ·  lens: both</t>
  </si>
  <si>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</si>
  <si>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</si>
  <si>
    <t>INTERACTIONS:
Tap Fix connection → institution re-link (F1). Tap an as-of stamp → one-sentence explainer sheet: 'This includes your Chase accounts, last updated Jun 27. Everything else is current.' Tap the invitation strip → Plan's 3 questions. Pull-to-refresh retries the stale connection first.</t>
  </si>
  <si>
    <t>ACCESSIBILITY:
Banner is announced once on arrival ('Information: Chase hasn't updated since June 27'), not on every scroll. Stamps are part of each number's spoken sentence ('…as of June 27'). Info icon always paired with words. Fix button ≥44pt.</t>
  </si>
  <si>
    <t xml:space="preserve">   Stale-connection banner</t>
  </si>
  <si>
    <t>'ⓘ Chase hasn't updated since Jun 27. Numbers may be behind. [Fix connection &gt;]'. Info icon + words (never a yellow bar alone). Names the institution and date; appears when a connection is more than 48 hours old or needs a fresh login. Manual-only users never see it.</t>
  </si>
  <si>
    <t>NET-NEW: F1 Connection record's last_successful_update + status (no sync module exists yet — PRD gap)</t>
  </si>
  <si>
    <t>Connection.institution, last_successful_update, status</t>
  </si>
  <si>
    <t>Same connection status and date as the Settings connections list; one source</t>
  </si>
  <si>
    <t xml:space="preserve">   As-of stamps on affected numbers</t>
  </si>
  <si>
    <t>Any figure that includes stale data gets 'as of Jun 27' next to it; hero also says which part ('Chase part'). Price-driven staleness uses the existing freshness read.</t>
  </si>
  <si>
    <t>EXISTING for prices: priceFreshness (src/services/marketData.ts); NET-NEW for account balances: oldest last_successful_update among included connections</t>
  </si>
  <si>
    <t>price fetch timestamps; Connection.last_successful_update per included account</t>
  </si>
  <si>
    <t>Same stamp logic and wording as the Performance screen's freshness line — one helper, both places</t>
  </si>
  <si>
    <t xml:space="preserve">   Partial will-it-last invitation</t>
  </si>
  <si>
    <t>When the plan inputs aren't answered yet, the strip becomes: 'Answer 3 quick questions in Plan to see your odds &gt; Plan'. Never shows a chance computed from guessed inputs.</t>
  </si>
  <si>
    <t>EXISTING gate: absence of a stored RetirementState (buildRetirementState output, src/domain/retirement/index.ts)</t>
  </si>
  <si>
    <t>presence/absence of RetirementState; plan completeness (planPct input in src/domain/insights/index.ts)</t>
  </si>
  <si>
    <t>Plan tab shows the same 3 questions; completing them lights up Home and the insights retireChance simultaneously</t>
  </si>
  <si>
    <t xml:space="preserve">   Shorter What-needs-you</t>
  </si>
  <si>
    <t>Only rules whose inputs are trustworthy fire; a list of 1 is shown as 1. A missing-data nudge may appear as a normal ranked item ('Add your retirement account — your picture is missing it') but is never dressed as urgent.</t>
  </si>
  <si>
    <t>EXISTING: buildInsights simply receives null/absent inputs and its rules skip (nullable InsightInput fields, src/domain/insights/index.ts)</t>
  </si>
  <si>
    <t>InsightInput with nulls for unknowns</t>
  </si>
  <si>
    <t>Insights screen shows the same reduced set</t>
  </si>
  <si>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</si>
  <si>
    <t>▶ Idle cash — nudge detail  ·  lens: both</t>
  </si>
  <si>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</si>
  <si>
    <t>BUILD NOTE:
NET-NEW light screen; closes walkthrough dead-end #1 (Home's marquee nudge led to an Invest tab with no cash section).</t>
  </si>
  <si>
    <t>INTERACTIONS:
Home idle-cash card -&gt; HERE (was a drop onto the Invest tab). 'See my cash accounts' -&gt; Net worth filtered to cash.</t>
  </si>
  <si>
    <t>ACCESSIBILITY:
Read as one story: fact, where, comparison. Rates always paired with the word estimate.</t>
  </si>
  <si>
    <t xml:space="preserve">   Idle-cash fact + by-account list</t>
  </si>
  <si>
    <t>The same $18,400 as the Home card, broken into the accounts it sits in with their (user-entered or known) rates.</t>
  </si>
  <si>
    <t>EXISTING: cashTotal + cash-class accounts (src/domain/assets/index.ts); per-account rate = user-entered or kind default.</t>
  </si>
  <si>
    <t>cash-class balances, rates</t>
  </si>
  <si>
    <t>PIN: total = the Home card figure = the Net worth Cash row — one cashTotal.</t>
  </si>
  <si>
    <t xml:space="preserve">   Comparison math (estimates)</t>
  </si>
  <si>
    <t>What the same dollars would earn at typical high-yield-savings and money-market rates — '$750/yr' style, labeled estimates with example rates shown.</t>
  </si>
  <si>
    <t>NET-NEW small calc: balance × example rate; rates are named constants with an as-of date, never a recommendation of a product.</t>
  </si>
  <si>
    <t>cash total × example rates</t>
  </si>
  <si>
    <t>Comparison uses the same total shown above it; never advises, shows math.</t>
  </si>
  <si>
    <t>• Rates unknown: Accounts without a rate show 'rate not set [add]' — the comparison still runs on the total.
• Hidden balances: Amounts mask; percentages stay.</t>
  </si>
  <si>
    <t>▶ 401(k) room this year — nudge detail  ·  lens: working</t>
  </si>
  <si>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</si>
  <si>
    <t>BUILD NOTE:
NET-NEW light screen aligned with the live app's contribution-room surface; closes walkthrough dead-end #2.</t>
  </si>
  <si>
    <t>INTERACTIONS:
Home 401(k) card -&gt; HERE. Try-it -&gt; forward what-if prefilled.</t>
  </si>
  <si>
    <t>ACCESSIBILITY:
The four math rows read as one sentence; catch-up rule stated in words.</t>
  </si>
  <si>
    <t xml:space="preserve">   Room math</t>
  </si>
  <si>
    <t>Limit (with age-50+ catch-up), contributed so far, room left, and room ÷ months remaining.</t>
  </si>
  <si>
    <t>EXISTING: k401Headroom(age, contributions) + IRS_LIMITS (src/domain/income/limits.ts) — the same helper the Home card uses.</t>
  </si>
  <si>
    <t>age, year-to-date 401(k) contributions, IRS limit table</t>
  </si>
  <si>
    <t>PIN: the room figure = the Home card figure — one helper (k401Headroom).</t>
  </si>
  <si>
    <t xml:space="preserve">   Try-it link</t>
  </si>
  <si>
    <t>'Try it in a what-if' opens Invest's forward what-if pre-set to +$1,530/mo.</t>
  </si>
  <si>
    <t>Navigation with prefill into the designed forward what-if screen.</t>
  </si>
  <si>
    <t>prefill addMonthly</t>
  </si>
  <si>
    <t>Same engines as the what-if; no separate math here.</t>
  </si>
  <si>
    <t>• No earned income: The nudge never fires (existing B-48 gate), so this screen is unreachable — stated for completeness.
• Hidden balances: Dollar figures mask.</t>
  </si>
  <si>
    <t>▶ Onboarding flow map (first run, end to end)  ·  lens: both</t>
  </si>
  <si>
    <t>The missing end-to-end onboarding mockup (M1): five steps from install to a Home with real numbers — value first, questions second (both skippable), the right first action per person, never a dead end.</t>
  </si>
  <si>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</si>
  <si>
    <t xml:space="preserve">   Step sequence</t>
  </si>
  <si>
    <t>Intro (value + read-only promise) → intents (multi-select) → stage → routed first action → Home. Every step skippable; skip = sensible defaults.</t>
  </si>
  <si>
    <t>Composes designed screens: what-did-you-come-for, Monthly income (Cash flow), connect flow (Net worth), first-run Home.</t>
  </si>
  <si>
    <t>intent[], stage</t>
  </si>
  <si>
    <t>The routed fast-paths are the SAME screens reachable later — onboarding has no private screens to drift.</t>
  </si>
  <si>
    <t>• Returning user: never shown again; all pieces stay reachable (Settings → Your setup; income screen; connect flow).
• Keyboard open: Continue pinned above the keyboard on any input step (M2 rule).
• BUILD: NET-NEW light flow over existing screens — closes M1 (onboarding mockups).</t>
  </si>
  <si>
    <t>▶ Net worth tab — main screen  ·  lens: both</t>
  </si>
  <si>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</si>
  <si>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</si>
  <si>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</si>
  <si>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</si>
  <si>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</si>
  <si>
    <t xml:space="preserve">   Headline net worth + change this year + 12-month trend</t>
  </si>
  <si>
    <t>The single net worth number (what you own minus what you owe), how much it changed this calendar year, and a simple line graph of the last 12 month-end values. Red with the word 'negative' if you owe more than you own.</t>
  </si>
  <si>
    <t>EXISTING: buildNetWorth (src/domain/networth/index.ts), fed by totalAssets (src/domain/assets/index.ts) and totalDebtBalance (src/domain/debt/index.ts). The change and trend are NET-NEW: F1 sync seam saves a month-end snapshot of the buildNetWorth output (no history exists today).</t>
  </si>
  <si>
    <t>net_worth, gross_assets, gross_debt; new snapshot series {month, net_worth}</t>
  </si>
  <si>
    <t>The exact number shown on Home and everywhere else — every surface calls buildNetWorth(totalAssets, totalDebtBalance); pinned by the cross-screen agreement test (src/domain/assets/agreement.test.ts).</t>
  </si>
  <si>
    <t xml:space="preserve">   WHAT YOU OWN — one row per asset class</t>
  </si>
  <si>
    <t>Your assets grouped by what they actually are: Cash, Stocks / ETFs, Bonds, Alternatives, Real estate, Personal property — plus 'Unclassified' for accounts whose contents you haven't told us yet (we never pretend an unknown account is stocks). Tapping a row jumps to those accounts.</t>
  </si>
  <si>
    <t>EXISTING: assetAllocation + assetClassOf + ASSET_CLASS_LABEL (src/domain/assets/index.ts); the tap-to-jump and the 'Unclassified — tap to set' nudge already exist in src/screens/NetWorthScreen.tsx (scrollToClass, NW-15 nudge).</t>
  </si>
  <si>
    <t>asset_class, kind, tax_bucket, positions, balance</t>
  </si>
  <si>
    <t>The class rows sum exactly to totalAssets — assetAllocation is documented and tested to sum to totalAssets, so 'what you own' always equals the assets half of the headline.</t>
  </si>
  <si>
    <t xml:space="preserve">   WHAT YOU OWE — debt rows</t>
  </si>
  <si>
    <t>Each debt with its balance, shown as a minus number with the word 'owe' in the group header (never color alone). The costliest expensive debt keeps its 'pay first' tag.</t>
  </si>
  <si>
    <t>EXISTING: buildDebtState / totalDebtBalance (src/domain/debt/index.ts); debt rows + 'pay first' pill in renderDebtSection (src/screens/NetWorthScreen.tsx).</t>
  </si>
  <si>
    <t>remaining_balance, interest_rate_apr, minimum_monthly_payment, label, institution</t>
  </si>
  <si>
    <t>Same totalDebtBalance feeds the headline, this section total, and the Home glance — one helper, one number.</t>
  </si>
  <si>
    <t xml:space="preserve">   Own − owe = net worth math line</t>
  </si>
  <si>
    <t>The arithmetic spelled out under the summary — 'Own $1,388,900 − Owe $184,000 = Net worth $1,204,900' — so the headline is never a mystery number.</t>
  </si>
  <si>
    <t>EXISTING: the nwIdentity line in src/screens/NetWorthScreen.tsx already renders 'Assets − Debts = Net worth' from the same three helpers.</t>
  </si>
  <si>
    <t>gross_assets, gross_debt, net_worth</t>
  </si>
  <si>
    <t>Rendered from the identical buildNetWorth object as the headline — cannot disagree with it.</t>
  </si>
  <si>
    <t xml:space="preserve">   Show accounts &amp; detail (expand) + By class / By institution toggle</t>
  </si>
  <si>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</si>
  <si>
    <t>EXISTING: the grouping toggle (invGroup 'type'/'account'), institution grouping, class-mix roll-up line and account rows all exist in renderAssetSection (src/screens/NetWorthScreen.tsx). NET-NEW: the collapse/expand shell, and rows now open Account detail instead of the edit sheet.</t>
  </si>
  <si>
    <t>institution, label, balance, asset_class, positions (tickers surfaced on the secondary line)</t>
  </si>
  <si>
    <t>Group subtotals are sums of the same account balances that feed totalAssets — expanding never changes the total.</t>
  </si>
  <si>
    <t xml:space="preserve">   Source chip + last-updated stamp (every account row)</t>
  </si>
  <si>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</si>
  <si>
    <t>NET-NEW: F1 sync seam — new fields source, connection_id, institution_id, last_synced on AssetAccount (src/domain/assets/index.ts). Existing accounts get source:'manual' by a one-time migration; imported accounts get source:'imported' at import time.</t>
  </si>
  <si>
    <t>source ('connected'|'imported'|'manual'), connection_id, institution_id, last_synced</t>
  </si>
  <si>
    <t>The stamp describes freshness only; the amount itself is always the stored balance that totalAssets sums — stale never means different.</t>
  </si>
  <si>
    <t xml:space="preserve">   This month's cash flow glance</t>
  </si>
  <si>
    <t>One line — money in and money out this month — that links across to the Cash flow tab where movement lives. Kept deliberately tiny so this tab stays the stock view.</t>
  </si>
  <si>
    <t>NET-NEW: reads the Cash flow tab's canonical month-in / month-out helper (owned and specified in the Cash flow tab detailed design) — this tile calls the same helper, never re-adds transactions itself.</t>
  </si>
  <si>
    <t>month_in, month_out (from the Cash flow engine)</t>
  </si>
  <si>
    <t>One helper shared with the Cash flow tab, so the two screens can never show different in/out numbers for the same month.</t>
  </si>
  <si>
    <t xml:space="preserve">   + Add or connect an account</t>
  </si>
  <si>
    <t>One button, three honest paths: 'Link it (read-only)', 'Add by hand', 'Import from a file'. Manual and file import stay first-class forever — linking is optional.</t>
  </si>
  <si>
    <t>EXISTING: 'Add by hand' opens the existing AssetSheet class-first picker (src/screens/NetWorthScreen.tsx); 'Import from a file' routes to the existing /import-holdings screen. NET-NEW: the 'Link it' path (Connect flow, screen 2) and the three-way chooser.</t>
  </si>
  <si>
    <t>n/a (navigation)</t>
  </si>
  <si>
    <t>All three paths write accounts through the same store.addAsset / store.updateAsset actions (src/store/useStore.ts), so a linked, imported, or hand-typed account is the same kind of row everywhere.</t>
  </si>
  <si>
    <t xml:space="preserve">   Hide-balances toggle (eye)</t>
  </si>
  <si>
    <t>One tap masks every money amount on this tab (and app-wide) as ••••; the class names, source chips and dates stay visible so the page still reads.</t>
  </si>
  <si>
    <t>EXISTING: setHideBalances / BALANCE_MASK in src/domain/_shared/money.ts — the one place masking lives; every formatted amount (money, money2, moneyCompact) masks itself.</t>
  </si>
  <si>
    <t>hideBalances (store)</t>
  </si>
  <si>
    <t>Because masking lives inside the shared money formatters, no screen can leak an unmasked amount — mask-all is structural, not per-screen.</t>
  </si>
  <si>
    <t xml:space="preserve">   Emergency cushion card (kept, below the fold)</t>
  </si>
  <si>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</si>
  <si>
    <t>EXISTING: cashTotal (src/domain/assets/index.ts) ÷ plannedMonthlySpend (src/domain/budget); runway card in src/screens/NetWorthScreen.tsx including the B-44 no-cash wording.</t>
  </si>
  <si>
    <t>cash class balances, plannedMonthlySpend</t>
  </si>
  <si>
    <t>cashTotal is the same canonical cash number as the Cash row above it; plannedMonthlySpend is the same budget figure the Plan tab uses.</t>
  </si>
  <si>
    <t xml:space="preserve">   Your path ahead (from your Plan)</t>
  </si>
  <si>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</si>
  <si>
    <t>EXISTING engine: projectNestEgg (src/domain/retirement/index.ts:198) with the shared plan assumptions; NET-NEW: this tab reading the shared source (today Net worth ignores it).</t>
  </si>
  <si>
    <t>invested balances, shared assumptions (contribMonthly, expectedReturn, retireAge)</t>
  </si>
  <si>
    <t>PIN: identical projection to Plan's will-it-last detail band and Invest's forward what-if baseline — one engine, one assumptions source; TODAY's balances never move on adoption (futures only).</t>
  </si>
  <si>
    <t xml:space="preserve">   Class info dots (c13)</t>
  </si>
  <si>
    <t>Every class row gets an (i): Cash (incl. equivalents) · Stocks &amp; funds · Bonds · Alternatives (crypto, gold, private holdings) · Real estate. Same glossary entries as Home.</t>
  </si>
  <si>
    <t>Glossary InfoDot; definitions = the canonical taxonomy (assetClassOf).</t>
  </si>
  <si>
    <t>One glossary entry per class app-wide.</t>
  </si>
  <si>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</si>
  <si>
    <t>▶ Connect flow — choose institution + honest consent  ·  lens: both</t>
  </si>
  <si>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</si>
  <si>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</si>
  <si>
    <t>BUILD NOTE:
NET-NEW screen (F1). Reuses the existing sheet/navigation patterns and the KeyboardAwareSheet component; the server token exchange follows the existing functions/ proxy pattern. The chooser reuses the two existing paths untouched.</t>
  </si>
  <si>
    <t>INTERACTIONS:
Pick a path → follow it. Search → pick institution → consent → Continue with Plaid → Plaid's own screens → return to Accounts found (screen 3). Cancel anywhere → back to the chooser, nothing saved.</t>
  </si>
  <si>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</si>
  <si>
    <t xml:space="preserve">   Three-way chooser (Link / Add by hand / Import)</t>
  </si>
  <si>
    <t>The same three paths as the tab's add button, so nobody is funneled into linking. Each option says in one line what it means ('updates itself' vs 'you update it').</t>
  </si>
  <si>
    <t>EXISTING: 'Add by hand' → AssetSheet (src/screens/NetWorthScreen.tsx); 'Import from a file' → ImportHoldingsScreen. NET-NEW: F1 sync seam — the Link path.</t>
  </si>
  <si>
    <t>All paths end in the same AssetAccount rows via store.addAsset/updateAsset — the choice changes freshness, never the math.</t>
  </si>
  <si>
    <t xml:space="preserve">   Institution search</t>
  </si>
  <si>
    <t>Type-ahead search over institutions (served by Plaid's institution list). Picking one starts the consent step with that name filled in.</t>
  </si>
  <si>
    <t>NET-NEW: F1 sync seam — provider call listInstitutions(query); the chosen institution_id is stored on every account the link creates.</t>
  </si>
  <si>
    <t>institution_id, institution (display name)</t>
  </si>
  <si>
    <t>institution_id becomes the merge key — the same field the merge step and the import flow use, so 'one institution = one account' is enforced with one identifier.</t>
  </si>
  <si>
    <t xml:space="preserve">   Honest consent card</t>
  </si>
  <si>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</si>
  <si>
    <t>NET-NEW: F1 sync seam — approved Plaid-decision consent copy (product identity: truth-teller). Replaces the old on-device wording used on the import screen's note (src/screens/ImportHoldingsScreen.tsx) for the linked path only.</t>
  </si>
  <si>
    <t>n/a (copy)</t>
  </si>
  <si>
    <t>One consent component reused by first link, adding another institution, and re-linking — the promise is worded identically everywhere.</t>
  </si>
  <si>
    <t xml:space="preserve">   Continue with Plaid (hand-off)</t>
  </si>
  <si>
    <t>Opens Plaid's own secure sign-in inside the app. We never see or store the password. On success Plaid returns a connection token; we exchange it and fetch the account list.</t>
  </si>
  <si>
    <t>NET-NEW: F1 sync seam — Plaid Link software kit + a small server exchange (token swap must not happen on the phone; pattern follows the existing keys-off-client rule from the AI proxy work, functions/).</t>
  </si>
  <si>
    <t>connection_id (stored), access token (server-side only, never on device)</t>
  </si>
  <si>
    <t>The seam only ever writes balances through the same store actions as manual entry — no second write path to invent a different number.</t>
  </si>
  <si>
    <t xml:space="preserve">   Same-brand disambiguation hint</t>
  </si>
  <si>
    <t>When a search returns sibling institutions (Fidelity Investments vs Fidelity NetBenefits), a one-line hint under each: 'workplace 401(k)s are usually under NetBenefits' — the two-Fidelity stumble, answered where it happens.</t>
  </si>
  <si>
    <t>copy + institution metadata from the provider list</t>
  </si>
  <si>
    <t>institution kind hint</t>
  </si>
  <si>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</si>
  <si>
    <t>▶ Connect flow — accounts found + merge / reconcile  ·  lens: both</t>
  </si>
  <si>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</si>
  <si>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</si>
  <si>
    <t>BUILD NOTE:
NET-NEW screen (F1), but thin: all writes go through existing store.addAsset/updateAsset; the merge sheet component is built once here and REUSED by Import v2 (screen 4). Matching logic is a small pure helper (unit-testable like holdingsImport).</t>
  </si>
  <si>
    <t>INTERACTIONS:
Check/uncheck accounts; choose Same/Different per match; confirm. 'Different — keep both' adds a new row whose label gets the last-4 suffix so the two are tellable apart. Back cancels without writing.</t>
  </si>
  <si>
    <t>ACCESSIBILITY:
Checkboxes and radio choices are proper toggles with spoken state. The merge question is read as one sentence including both balances. The warning icon is paired with the words 'looks like an account you already track' — never an icon alone.</t>
  </si>
  <si>
    <t xml:space="preserve">   Accounts-found checklist</t>
  </si>
  <si>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</si>
  <si>
    <t>NET-NEW: F1 sync seam — fetchAccounts(connection_id). Each checked account is written via the EXISTING store.addAsset (src/store/useStore.ts) with source:'connected', institution_id, connection_id, last_synced.</t>
  </si>
  <si>
    <t>label, institution, institution_id, connection_id, balance, kind (mapped from Plaid's account type), source, last_synced</t>
  </si>
  <si>
    <t>Linked accounts enter the same accounts array every total reads — totalAssets, assetAllocation and buildNetWorth pick them up with zero new math.</t>
  </si>
  <si>
    <t xml:space="preserve">   Duplicate-match card (merge rule)</t>
  </si>
  <si>
    <t>When a found account matches one you already track, a plain question: same account (update it — recommended) or different (keep both). 'Same' explains what happens: your existing row keeps its history, notes and retirement settings; only the balance and freshness change.</t>
  </si>
  <si>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</si>
  <si>
    <t>institution_id, institution, label, last-4 mask, balance, asset_id (preserved on merge)</t>
  </si>
  <si>
    <t>Merge preserves asset_id, so the transaction history (transactions filtered by account_id), retirement earmark (retirement_pct) and class settings all survive — one institution, one account, one continuous number.</t>
  </si>
  <si>
    <t xml:space="preserve">   Confirmation button + honesty line</t>
  </si>
  <si>
    <t>The button states exactly what will happen ('Add 2 accounts + update 1'); the line beneath promises nothing is added twice without asking.</t>
  </si>
  <si>
    <t>NET-NEW: F1 sync seam (copy + orchestration); writes are the existing store actions only.</t>
  </si>
  <si>
    <t>After confirming, the Net worth headline updates through the same buildNetWorth path — the user watches one number change once.</t>
  </si>
  <si>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</si>
  <si>
    <t>▶ Import from a file v2 — pick, review, merge  ·  lens: both</t>
  </si>
  <si>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</si>
  <si>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</si>
  <si>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</si>
  <si>
    <t>INTERACTIONS:
Pick file → review → (fix any class via the row's picker) → set institution → resolve merge question if shown → Import. 'Choose a different file' restarts without saving.</t>
  </si>
  <si>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</si>
  <si>
    <t xml:space="preserve">   File pick + robust reading</t>
  </si>
  <si>
    <t>Pick the file; we read it even when the brokerage exported it in an unusual text encoding, and we tell you plainly if we can't ('Your data is safe — try exporting again').</t>
  </si>
  <si>
    <t>EXISTING: pickFile + readCsvText (src/screens/ImportHoldingsScreen.tsx) using readFileString (src/services/fileRead) and decodeCsvBase64 + parseCsv (src/domain/import/holdingsImport.ts).</t>
  </si>
  <si>
    <t>raw file text → rows</t>
  </si>
  <si>
    <t>One parser for every brokerage file; the preview total is computed from the same parsed rows that get saved.</t>
  </si>
  <si>
    <t xml:space="preserve">   Institution field</t>
  </si>
  <si>
    <t>One required question — which institution is this file from? Pre-guessed from the file name when possible. This is what makes the account show up under 'By institution' and what powers the no-duplicates check.</t>
  </si>
  <si>
    <t>NET-NEW (v1.1 requirement): the import screen today only asks an account NAME (accountName state) — institution is never captured. New field writes AssetAccount.institution (field EXISTS in src/domain/assets/index.ts) on every account the import creates.</t>
  </si>
  <si>
    <t>institution, institution_id (when it matches a known one), source:'imported', last_synced = import date</t>
  </si>
  <si>
    <t>Uses the same institution field the By-institution grouping (NetWorthScreen.tsx invGroup 'account') and the merge rule read — one field, three features.</t>
  </si>
  <si>
    <t xml:space="preserve">   Classification review (per-row, editable)</t>
  </si>
  <si>
    <t>Every holding shows the class we detected — and a tap lets you correct it before anything is saved. Crypto (BTC, ETH, coin names), foreign currencies and commodities (gold, silver) now classify as Alternatives; Treasury bills as Cash with the treasury tag; bonds as Bonds.</t>
  </si>
  <si>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</si>
  <si>
    <t>assetClass per ImportedHolding; saved as explicit asset_class (which always wins in assetClassOf)</t>
  </si>
  <si>
    <t>The class chosen here is stored as the explicit asset_class, the same field assetClassOf honors first — so the donut, class rows and Alternatives screen all agree with what the user approved in the preview.</t>
  </si>
  <si>
    <t xml:space="preserve">   Merge-not-duplicate step</t>
  </si>
  <si>
    <t>If an account from this institution already exists, the same question as the connect flow: update it (recommended, no twin) or add as new. Re-importing next quarter's file refreshes your numbers instead of doubling them.</t>
  </si>
  <si>
    <t>NET-NEW: reuses the merge sheet from screen 3 (F1 sync seam merge rule). Update path replaces the matched account's positions/balance via the EXISTING store.updateAsset; add path is today's confirmImport via store.addAsset (src/screens/ImportHoldingsScreen.tsx).</t>
  </si>
  <si>
    <t>institution match → asset_id preserved on update; positions, balance, last_synced refreshed</t>
  </si>
  <si>
    <t>Same merge rule and same store actions as connecting — the user learns one behavior: 'FinWise never doubles an account'.</t>
  </si>
  <si>
    <t xml:space="preserve">   Import confirm</t>
  </si>
  <si>
    <t>One button stating the count; equities become one tracked account (with each holding and its cost preserved), and each cash / bond / alternative line becomes its own correctly-classed entry.</t>
  </si>
  <si>
    <t>EXISTING: confirmImport (src/screens/ImportHoldingsScreen.tsx) — equities → one account with positions and derive_balance:true; others → per-class accounts via CLASS_DEFAULTS; prices refresh via store.refreshPrices.</t>
  </si>
  <si>
    <t>positions[], lots[], balance, asset_class, kind, tax_bucket, target_return; plus new institution/source/last_synced</t>
  </si>
  <si>
    <t>Imported equities join the same positions model the transactions engine and price refresh (recomputeBalances) operate on — imported and hand-entered holdings are indistinguishable downstream.</t>
  </si>
  <si>
    <t xml:space="preserve">   File-format info dot (c19)</t>
  </si>
  <si>
    <t>(i) on the file picker: 'A CSV file — the standard export from your brokerage. Must have: symbol and quantity columns. Nice to have: cost, value, purchase date. Most brokerage layouts and odd encodings are handled automatically.'</t>
  </si>
  <si>
    <t>Copy over the existing parser (header detection, encodings — holdingsImport.ts).</t>
  </si>
  <si>
    <t>Listed required columns = exactly what importHoldings requires.</t>
  </si>
  <si>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</si>
  <si>
    <t>▶ Account detail — any class  ·  lens: both</t>
  </si>
  <si>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</si>
  <si>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</si>
  <si>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</si>
  <si>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</si>
  <si>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</si>
  <si>
    <t xml:space="preserve">   Header: name, source, freshness</t>
  </si>
  <si>
    <t>Account name + institution, the source chip (Connected read-only / Imported / Manual) and the last-updated stamp. Paused connections show the amber 'Connection paused' word with a Fix button.</t>
  </si>
  <si>
    <t>NET-NEW: F1 sync seam fields (source, last_synced, connection_id) rendered here; account data is the EXISTING AssetAccount (src/domain/assets/index.ts).</t>
  </si>
  <si>
    <t>label, institution, source, last_synced, connection_id</t>
  </si>
  <si>
    <t>Same chip component and wording as the tab's account rows — source language is identical everywhere.</t>
  </si>
  <si>
    <t xml:space="preserve">   Balance + class/wrapper line + holdings line</t>
  </si>
  <si>
    <t>The account's value; underneath, what it is (asset class) and how it's taxed (plain word: taxable / pre-tax (taxed when it comes out) / tax-free (Roth)); for tracked accounts, the tickers it holds.</t>
  </si>
  <si>
    <t>EXISTING: balance (rebuilt from positions by recomputeBalances when derive_balance is true — wired in src/store/useStore.ts); assetClassOf + taxTreatmentOf + ASSET_CLASS_LABEL (src/domain/assets/index.ts); ticker surfacing mirrors withTickers in NetWorthScreen.tsx.</t>
  </si>
  <si>
    <t>balance, cash_balance, positions, asset_class, tax_treatment, derive_balance</t>
  </si>
  <si>
    <t>This balance is the very number totalAssets sums — no per-screen recomputation, per the one-helper rule (repo CLAUDE.md money-math gate).</t>
  </si>
  <si>
    <t xml:space="preserve">   Record-activity buttons (per class)</t>
  </si>
  <si>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</si>
  <si>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</si>
  <si>
    <t>Transaction {date, type, account_id, counter_account_id, ticker, shares, price, amount, note}</t>
  </si>
  <si>
    <t>Every recorded action goes through the ONE engine, so balances update by the same tested rules whether recorded here, on the stocks screen, or (v1.1) in the bond/alternative editors — and the Cash flow tab reads the same ledger.</t>
  </si>
  <si>
    <t xml:space="preserve">   Activity history</t>
  </si>
  <si>
    <t>The account's transactions newest-first, each in plain words with its signed cash effect ('Buy VTI, 20 shares at $260, −$5,200'). Bonds and alternatives finally get a visible history instead of silent balance edits.</t>
  </si>
  <si>
    <t>EXISTING: store.transactions filtered by account_id (append-only ledger, src/store/useStore.ts); labels via txnLabel and amounts via cashEffect (src/domain/transactions/index.ts).</t>
  </si>
  <si>
    <t>transactions[] where account_id = this account</t>
  </si>
  <si>
    <t>History and balance can't drift: the balance was produced by applying exactly these ledger entries (applyTransaction), plus price moves for tracked holdings.</t>
  </si>
  <si>
    <t xml:space="preserve">   Value as of &lt;date&gt; + Update value (bonds, alternatives, manual accounts)</t>
  </si>
  <si>
    <t>For anything without a live price, the value carries its date ('Value as of Jun 30, 2026'), editable in place. At 6+ months old, a gentle nudge: 'This value is 7 months old — still right?' One tap confirms (re-stamps today) or updates the number.</t>
  </si>
  <si>
    <t>NET-NEW (v1.1): field value_as_of on AssetAccount, set whenever balance is hand-edited, imported, or confirmed; staleness rule = value_as_of older than 6 months. Editing writes through the EXISTING store.updateAsset.</t>
  </si>
  <si>
    <t>value_as_of ('YYYY-MM-DD'), balance</t>
  </si>
  <si>
    <t>The as-of date is display honesty only — the balance remains the single stored number every total reads. Confirming re-stamps the date without touching the amount.</t>
  </si>
  <si>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</si>
  <si>
    <t>▶ Bond editor — add, buy, sell, as-of  ·  lens: both</t>
  </si>
  <si>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</si>
  <si>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</si>
  <si>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</si>
  <si>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</si>
  <si>
    <t xml:space="preserve">   Bond fields (name, institution, face, rate, maturity, value, held-in)</t>
  </si>
  <si>
    <t>The existing add/edit form: name, optional institution, face value, yearly interest rate, maturity date via a date picker, current value (blank = face), and which wrapper it sits in.</t>
  </si>
  <si>
    <t>EXISTING: BondEditor (src/screens/BondsScreen.tsx) — fields face_value, coupon_rate, maturity_date, balance, institution, tax_bucket on AssetAccount; date-picker default-commit fix (#11) kept; the double-count guard ('Part of an existing account?' alert) kept.</t>
  </si>
  <si>
    <t>label, institution, face_value, coupon_rate, maturity_date, balance, tax_bucket, kind</t>
  </si>
  <si>
    <t>A bond IS an AssetAccount, so it flows into totalAssets, the Bonds class row and the nest egg with zero extra plumbing — that is the existing design, unchanged.</t>
  </si>
  <si>
    <t xml:space="preserve">   Treasury-bill sub-kind</t>
  </si>
  <si>
    <t>A one-tap kind choice: Treasury bill vs regular bond. Picking Treasury bill labels it properly everywhere and applies the approved rule automatically: maturing within 12 months it counts as cash, longer counts as a bond.</t>
  </si>
  <si>
    <t>NET-NEW (v1.1): add kind 'treasury' to ASSET_KINDS (src/domain/assets/index.ts). The 12-month rule ALREADY EXISTS: maturityClass (src/domain/assets/index.ts) — applied once at save, stored as explicit asset_class (approved entry rule, build-34 #8); isCashEquivalentLabel already catches 'T-bill' wording.</t>
  </si>
  <si>
    <t>kind:'treasury', asset_class (set once via maturityClass), maturity_date</t>
  </si>
  <si>
    <t>Because the class is stored explicitly at save (assetClassOf honors it first), the tab's Cash and Bonds rows, the donut and the importer all file the same Treasury bill the same way.</t>
  </si>
  <si>
    <t xml:space="preserve">   Value as of + staleness nudge</t>
  </si>
  <si>
    <t>The current value always shows the date you last set it, editable in place. At 6+ months a nudge asks 'still right?' — confirm re-stamps today, or type the new value.</t>
  </si>
  <si>
    <t>NET-NEW (v1.1): value_as_of field (shared with screen 5); today the bonds screen footnote admits 'value is what you enter' but carries no date. Rendering rule shared app-wide.</t>
  </si>
  <si>
    <t>value_as_of, balance</t>
  </si>
  <si>
    <t>Same field and same 6-month rule as alternatives and manual accounts — one staleness concept, one wording.</t>
  </si>
  <si>
    <t xml:space="preserve">   Buy more + Sell with history</t>
  </si>
  <si>
    <t>'Buy more' records a purchase (amount, date) that raises the value and face proportionally; 'Sell' records full or partial proceeds. Both appear in the visible history here and in Account detail. A full sale asks 'Close this bond?' before removing it.</t>
  </si>
  <si>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</si>
  <si>
    <t>Transaction {type:'BUY'|'SELL'|'COUPON', account_id, amount, date}; face_value scaled on partial sale (existing proportional rule kept)</t>
  </si>
  <si>
    <t>Bond buys/sells land in the same ledger the Cash flow tab and Account detail read — the confirmation sheet still previews the before/after values exactly as today's alert does.</t>
  </si>
  <si>
    <t xml:space="preserve">   Bond metrics (context, unchanged)</t>
  </si>
  <si>
    <t>Yearly interest income, current yield, estimated yield-to-maturity and the soonest maturity — labeled as estimates, matching the truth-teller rule.</t>
  </si>
  <si>
    <t>EXISTING: bondInfo, annualCoupon, currentYield, approxYTM, yearsToMaturity, bondSummary (src/domain/bonds); the 'estimate' footnote already exists on BondsScreen.tsx.</t>
  </si>
  <si>
    <t>face_value, coupon_rate, maturity_date, balance</t>
  </si>
  <si>
    <t>Metrics derive from the same four stored fields the editor saves — no second copy of the bond's numbers.</t>
  </si>
  <si>
    <t xml:space="preserve">   Provenance header (c23)</t>
  </si>
  <si>
    <t>This editor is the MANUAL path. A connected or imported bond opens the same detail with its provenance chip ('Connected · read-only' / 'Imported · Jun 12') and facts pre-filled; you edit only what the source doesn't provide.</t>
  </si>
  <si>
    <t>source/last_synced fields (F1).</t>
  </si>
  <si>
    <t>source, last_synced</t>
  </si>
  <si>
    <t>Same chip component as account rows.</t>
  </si>
  <si>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</si>
  <si>
    <t>▶ Alternative editor — add, buy, sell, as-of  ·  lens: both</t>
  </si>
  <si>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</si>
  <si>
    <t>BUILD NOTE:
REUSE: the whole AltEditor form, hints, benchmarks, sale confirmations and delete flow. Net-new: value_as_of + nudge, Buy-more, and routing buy/sell through recordTransaction — same small seam as the bond editor, shared action-sheet component.</t>
  </si>
  <si>
    <t>INTERACTIONS:
Type chips switch hint + benchmark live (existing). Buy more / Sell open the shared amount+date sheet with before/after preview. 'Sold all of it' shortcut prefills the full value (existing). Save/Cancel as today.</t>
  </si>
  <si>
    <t>ACCESSIBILITY:
Chips are toggle buttons with selected state announced. Hints are visible text, not tooltips. Sale/close confirmations read as full sentences with both values. The staleness nudge is an announced alert paired with the clock icon and words.</t>
  </si>
  <si>
    <t xml:space="preserve">   Type chips + honest hint</t>
  </si>
  <si>
    <t>Pick what it is; each type shows a one-line truth ('Illiquid; values are estimates until a sale') and its historical benchmark, labeled as a benchmark, not a promise.</t>
  </si>
  <si>
    <t>EXISTING: AltEditor (src/screens/OtherInvestmentsScreen.tsx) — ALT_KINDS chips (src/domain/alternatives), ALT_HINT copy, benchmarkReturn (src/domain/assets/index.ts) with sources in BENCHMARK_META.</t>
  </si>
  <si>
    <t>kind, target_return</t>
  </si>
  <si>
    <t>The same benchmarkReturn feeds this hint, the Alternatives screen summary and the retirement projection's blended return — one benchmark table.</t>
  </si>
  <si>
    <t xml:space="preserve">   Name, institution, value, held-in</t>
  </si>
  <si>
    <t>The existing form: name, where it's held (institution — this is what groups it under 'By institution' on the tab), current value, and its tax wrapper.</t>
  </si>
  <si>
    <t>EXISTING: AltEditor fields → store.addAsset / store.updateAsset (src/store/useStore.ts); AssetAccount.institution, balance, tax_bucket.</t>
  </si>
  <si>
    <t>label, institution, balance, tax_bucket, asset_class:'alternatives'</t>
  </si>
  <si>
    <t>An alternative IS an AssetAccount with class 'alternatives' — alternativesTotal, the donut and the tab's Alternatives row all read the same stored balance.</t>
  </si>
  <si>
    <t>'Value as of &lt;date&gt;' under the value, editable in place; at 6+ months: 'This value is 8 months old — still right?' Confirm re-stamps, or update the number. Especially important here — these have no live prices.</t>
  </si>
  <si>
    <t>NET-NEW (v1.1): value_as_of field (same field, rule and wording as bonds and manual accounts); today the screen's footnote says 'values are what you enter' with no date.</t>
  </si>
  <si>
    <t>One staleness rule app-wide (6 months) — same words on bonds, alternatives and manual accounts.</t>
  </si>
  <si>
    <t>'Buy more' records money added (raises the value); 'Sell' records full or partial proceeds (existing confirmations kept: partial lowers it, full asks 'Close this investment?'). Both write visible history rows.</t>
  </si>
  <si>
    <t>EXISTING (partial): applySale in OtherInvestmentsScreen.tsx — sale-only, silent balance edit, full sale just deletes. NET-NEW (v1.1): both actions write BUY / SELL entries via recordTransaction (src/store/useStore.ts) so the history survives and the Cash flow tab sees the movement.</t>
  </si>
  <si>
    <t>Transaction {type:'BUY'|'SELL', account_id, amount, date}</t>
  </si>
  <si>
    <t>Identical action sheet and ledger path as bonds and Account detail — record once, read everywhere.</t>
  </si>
  <si>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</si>
  <si>
    <t>▶ Add or edit an account by hand (dynamic by class)  ·  lens: both</t>
  </si>
  <si>
    <t>The missing manual-add mockup (M1 + c15/c16): ONE dynamic screen — pick what it is, only that class's fields appear, required ones marked. Edit mode is this screen pre-filled (the 'manual update' view), saving balance + as-of date together.</t>
  </si>
  <si>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</si>
  <si>
    <t xml:space="preserve">   Class picker → dynamic fields (c16)</t>
  </si>
  <si>
    <t>Per class: CASH name·institution·balance·rate(opt) | STOCKS &amp; FUNDS institution·balance OR holdings (ticker+shares) | BONDS the bond form | ALTERNATIVES type·name·value | REAL ESTATE value + what-you-owe | DEBT the debt form. Wrapper chips only for investment classes; required fields marked.</t>
  </si>
  <si>
    <t>EXISTING AssetSheet/BondEditor/AltEditor/DebtSheet field sets unified behind one class-first entry; writes via store.addAsset/updateAsset.</t>
  </si>
  <si>
    <t>per class + tax_bucket + retirement_pct</t>
  </si>
  <si>
    <t>Same fields the editors save today — one write path.</t>
  </si>
  <si>
    <t xml:space="preserve">   Edit mode = manual update (c15)</t>
  </si>
  <si>
    <t>Opening an existing manual account shows this screen pre-filled; saving updates balance AND stamps value-as-of together.</t>
  </si>
  <si>
    <t>updateAsset + value_as_of.</t>
  </si>
  <si>
    <t>balance, value_as_of</t>
  </si>
  <si>
    <t>Same as-of rule as bonds/alternatives — one staleness concept.</t>
  </si>
  <si>
    <t xml:space="preserve">   Keyboard-safe Save (M2)</t>
  </si>
  <si>
    <t>Save pinned above the keyboard; focused field auto-scrolls into view. Gate-checked.</t>
  </si>
  <si>
    <t>UX keyboard rule.</t>
  </si>
  <si>
    <t>One rule on every input screen.</t>
  </si>
  <si>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</si>
  <si>
    <t>▶ Invest — main (glance then drill)  ·  lens: working</t>
  </si>
  <si>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</si>
  <si>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</si>
  <si>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</si>
  <si>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</si>
  <si>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</si>
  <si>
    <t xml:space="preserve">   Period selector (1M / 3M / 6M / year-to-date / 1Y / 3Y)</t>
  </si>
  <si>
    <t>Which time window every return number on the screen uses. One selector drives the whole screen so numbers can never disagree.</t>
  </si>
  <si>
    <t>EXISTING: PERIODS + Period type — src/domain/performance/index.ts:30; already used by PerformanceScreen.tsx</t>
  </si>
  <si>
    <t>period</t>
  </si>
  <si>
    <t>The selected period is passed to every helper below (buildPerformance, portfolioTrend, attribution) — one period, one set of numbers; pinned by the existing performance tests.</t>
  </si>
  <si>
    <t xml:space="preserve">   Total return glance ($ and %)</t>
  </si>
  <si>
    <t>'Up +$96,400 (+12.9%)' — the value-weighted return of everything with a price over the chosen period, with the word 'Up' or 'Down' next to the sign (never color alone).</t>
  </si>
  <si>
    <t>EXISTING: buildPerformance (src/domain/performance/index.ts:150) rows -&gt; portfolioPeriodReturn (:224) for the %, sum of row.gain deltas for the $; per-row gain = unrealizedGain (:47)</t>
  </si>
  <si>
    <t>positions[].lots (shares, cost_per_share, purchase_date), priceCache series</t>
  </si>
  <si>
    <t>Same rows feed the winners &amp; laggards list below — the per-holding contributions (attribution :174) sum to this same portfolio return; pinned in performance.test.ts.</t>
  </si>
  <si>
    <t xml:space="preserve">   'You're ahead by X points' market comparison</t>
  </si>
  <si>
    <t>The stock market's return over the SAME period ('+10.1%') and the factual gap ('ahead by 2.8 points'). No 'benchmark' jargon; 'ahead of the market' is a fact, not advice.</t>
  </si>
  <si>
    <t>EXISTING: periodReturn on the market proxy series (src/domain/performance/index.ts:105) with benchmarkTicker (:132, default SPY = the big-company US stock index fund)</t>
  </si>
  <si>
    <t>benchReturn, beatBy (buildPerformance row :146-:167)</t>
  </si>
  <si>
    <t>Same market figure the per-holding drill shows ('vs market' on each detail page) — one benchmarkTicker mapping, no second market number.</t>
  </si>
  <si>
    <t xml:space="preserve">   You-vs-market trend line</t>
  </si>
  <si>
    <t>Two small lines: your portfolio value and what the same starting money would have done in the market fund, rebased to the same start.</t>
  </si>
  <si>
    <t>EXISTING: portfolioTrend (src/domain/performance/index.ts:198)</t>
  </si>
  <si>
    <t>TrendPoint { date, value, bench }</t>
  </si>
  <si>
    <t>Uses the same price cache and period as the glance; the line's last point matches the glance value (agreement test to add).</t>
  </si>
  <si>
    <t xml:space="preserve">   Price freshness line</t>
  </si>
  <si>
    <t>'Prices updated 2h ago' — or 'Prices may be out of date (5 days old)' with a warning word when stale.</t>
  </si>
  <si>
    <t>EXISTING: priceFreshness (src/services/marketData.ts:60), already wired at PerformanceScreen.tsx:79; prices come through the swappable PriceProvider seam (marketData.ts:7) so a later data-source change needs no redesign</t>
  </si>
  <si>
    <t>store.pricesFetchedAt</t>
  </si>
  <si>
    <t>Same label string on every screen that shows a live price (main, equity detail, look-back) — one helper, one wording.</t>
  </si>
  <si>
    <t xml:space="preserve">   Winners &amp; laggards list</t>
  </si>
  <si>
    <t>Top 3 contributors and bottom 1-2, each with an up/down WORD + arrow icon, dollar gain and percent. 'See all' expands; 'By account' regroups the same rows by account.</t>
  </si>
  <si>
    <t>EXISTING: attribution (src/domain/performance/index.ts:174) sorted best-to-worst; per-row gain/percent from buildPerformance</t>
  </si>
  <si>
    <t>contribution, weight, position.ticker/label</t>
  </si>
  <si>
    <t>Contributions are weight x return of the SAME rows as the glance, so they visibly add up to the total — no separately-computed list.</t>
  </si>
  <si>
    <t xml:space="preserve">   Concentration callout</t>
  </si>
  <si>
    <t>'31% of your invested money is in one stock (NVDA)' — a quantified fact, shown when one holding is 25%+ of invested money (or one account is 40%+). No 'you should diversify' advice.</t>
  </si>
  <si>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</si>
  <si>
    <t>weight per row; threshold constants</t>
  </si>
  <si>
    <t>Holding weights are marketValue / total from the same buildPerformance rows — the callout's % equals the holding's share shown in the list.</t>
  </si>
  <si>
    <t xml:space="preserve">   Look back entry card</t>
  </si>
  <si>
    <t>'What if I'd moved money a year ago?' — opens the backward-looking comparison (screen 5). Labeled as facts about the past.</t>
  </si>
  <si>
    <t>NET-NEW: entry point to the lookBack engine (see engine spec); prices via existing priceOf lookups on the cached series</t>
  </si>
  <si>
    <t xml:space="preserve">   All-investments list, grouped Stocks / ETFs · Bonds · Alternatives</t>
  </si>
  <si>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</si>
  <si>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</si>
  <si>
    <t>balance, value_as_of (new), positions, asset_class</t>
  </si>
  <si>
    <t>The group subtotals and $843,700 total are the same balances Net Worth shows — recomputeBalances (src/store/useStore.ts:13) is the single writer of balance; pinned by the assets agreement test (src/domain/assets/agreement.test.ts).</t>
  </si>
  <si>
    <t xml:space="preserve">   Add investment / Record buttons</t>
  </si>
  <si>
    <t>'+ Add investment' opens the holding editor (stock/fund, bond, or alternative); 'Record' opens the transaction sheet (screen 6).</t>
  </si>
  <si>
    <t>EXISTING: HoldingEditor (src/screens/PerformanceScreen.tsx:248) for tickers; bond and alternative add flows exist on BondsScreen.tsx / OtherInvestmentsScreen.tsx — fold into one chooser</t>
  </si>
  <si>
    <t>One editor per instrument type reused everywhere it can be opened.</t>
  </si>
  <si>
    <t xml:space="preserve">   What-if entry card (forward)</t>
  </si>
  <si>
    <t>'What if I add more each month?' — opens the forward what-if (sliders + range).</t>
  </si>
  <si>
    <t>Navigation to the forward what-if screen; engines projectNestEgg + simulate band (src/domain/retirement/index.ts:198/:115).</t>
  </si>
  <si>
    <t xml:space="preserve">   Planned monthly contribution chip (from your Plan)</t>
  </si>
  <si>
    <t>'Saving $1,500/mo toward retirement (from your Plan)' — shown when a plan exists, so an adopted scenario is visible HERE too (the F11 propagation promise).</t>
  </si>
  <si>
    <t>EXISTING field: retirementAssumptions.contribMonthly (src/store/useStore.ts:427) read via the shared assumptions source — NET-NEW: this surface reading it (today Invest ignores the plan).</t>
  </si>
  <si>
    <t>contribMonthly</t>
  </si>
  <si>
    <t>PIN: equals the Plan hub's committed saving and the Cash flow planned line — one shared source (F11).</t>
  </si>
  <si>
    <t xml:space="preserve">   Where the return came from (c21/c24/c28) — NET-NEW</t>
  </si>
  <si>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</si>
  <si>
    <t>NET-NEW period roll-up over ledger SELL (realized) / DIVIDEND / INTEREST / COUPON rows + existing unrealized math.</t>
  </si>
  <si>
    <t>transactions[] by type + period; unrealizedGain</t>
  </si>
  <si>
    <t>PIN: the four lines sum to the headline return for the same period.</t>
  </si>
  <si>
    <t xml:space="preserve">   Retirement earmark (i) (c27)</t>
  </si>
  <si>
    <t>Info dot wherever the nest egg is referenced: 'Retirement savings ≠ net worth. Each account carries a retirement earmark (401(k)/IRA default 100%, taxable lower, home &amp; car 0%) — the nest egg is the earmarked share of financial accounts only. Edit any account's earmark on its page.'</t>
  </si>
  <si>
    <t>retirement_pct + earmarkedAmount (src/domain/assets, src/domain/decumulation).</t>
  </si>
  <si>
    <t>retirement_pct</t>
  </si>
  <si>
    <t>The earmarked total = the nest egg the safe draw and will-my-money-last use.</t>
  </si>
  <si>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</si>
  <si>
    <t>▶ Holding detail — stock / fund (equity)  ·  lens: both</t>
  </si>
  <si>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</si>
  <si>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</si>
  <si>
    <t>BUILD NOTE:
Mostly EXISTING data + components; the page itself is NET-NEW as a routed detail screen (today PerformanceScreen shows expandable rows, not a full-screen drill). Low risk: it is a re-layout of tested helpers.</t>
  </si>
  <si>
    <t>INTERACTIONS:
Tap a lot -&gt; edit it in HoldingEditor. Tap Record buy/sell -&gt; TransactionSheet with account+ticker pre-filled. Tap the info dot on the tax card -&gt; plain-English glossary entry (InfoDot, src/components/UI.tsx). Period chip on this page mirrors the main screen's selection.</t>
  </si>
  <si>
    <t>ACCESSIBILITY:
Header spoken as one sentence: 'NVIDIA, worth $261,900, up $76,200, 41 percent since purchase'. 'Ahead by 30.9 points' uses the word 'ahead', not color. Estimate labels are real text, not just styling, so screen readers hear them.</t>
  </si>
  <si>
    <t xml:space="preserve">   Value + gain header</t>
  </si>
  <si>
    <t>Current market value, total gain since purchase in $ and % with the up/down word, share count and average cost.</t>
  </si>
  <si>
    <t>EXISTING: marketValue (src/domain/performance/index.ts:43), unrealizedGain (:47), totalROI (:72), totalShares (:33), avgCost (:39), costBasis (:36)</t>
  </si>
  <si>
    <t>position.lots, latest close from priceCache</t>
  </si>
  <si>
    <t>Value equals this holding's row on the Invest main list and its share of the account balance in Net Worth (recomputeBalances is the single writer).</t>
  </si>
  <si>
    <t xml:space="preserve">   Price + freshness line</t>
  </si>
  <si>
    <t>'Price $727.50 · updated 2h ago'; switches to a warning wording when stale, and to 'no current price — showing what you paid' when missing.</t>
  </si>
  <si>
    <t>EXISTING: latestClose (src/domain/performance/index.ts:100) + priceFreshness (src/services/marketData.ts:60); B-19 fallback in recomputeBalances (src/store/useStore.ts:13)</t>
  </si>
  <si>
    <t>priceCache[ticker], pricesFetchedAt</t>
  </si>
  <si>
    <t>Same freshness helper and wording as the main screen.</t>
  </si>
  <si>
    <t xml:space="preserve">   Vs the stock market card</t>
  </si>
  <si>
    <t>This holding's period return next to the market's SAME-period return and the factual gap in points.</t>
  </si>
  <si>
    <t>EXISTING: buildPerformance row fields periodReturn / benchReturn / beatBy (src/domain/performance/index.ts:136-:168); market proxy via benchmarkTicker (:132)</t>
  </si>
  <si>
    <t>periodReturn, benchReturn, beatBy</t>
  </si>
  <si>
    <t>Same row object as the main-screen list — no recomputation on the detail page.</t>
  </si>
  <si>
    <t xml:space="preserve">   Lots list (what you bought)</t>
  </si>
  <si>
    <t>Each purchase: shares, price paid, date. Explains where the average cost comes from.</t>
  </si>
  <si>
    <t>EXISTING: Lot model (src/domain/performance/index.ts:10); edited via HoldingEditor (src/screens/PerformanceScreen.tsx:248)</t>
  </si>
  <si>
    <t>lot.shares, lot.cost_per_share, lot.purchase_date</t>
  </si>
  <si>
    <t>The lots ARE the cost basis — costBasis sums exactly these rows.</t>
  </si>
  <si>
    <t xml:space="preserve">   If-you-sold-today card (estimate)</t>
  </si>
  <si>
    <t>Gains split into held-over-a-year (taxed at the lower long-term rate) vs held-under-a-year, plus an estimated tax — labeled 'Estimate, not tax advice'.</t>
  </si>
  <si>
    <t>EXISTING: capGains (src/domain/performance/index.ts:53) + capGainsTax (:67); wording pattern already at PerformanceScreen.tsx:202</t>
  </si>
  <si>
    <t>longGain, shortGain, ltRate 15%, ordinaryRate 24%</t>
  </si>
  <si>
    <t>Computed per lot from the same lots list shown above — the two gains sum to the header gain.</t>
  </si>
  <si>
    <t xml:space="preserve">   Look back entry</t>
  </si>
  <si>
    <t>'What if I'd sold a year ago?' — opens screen 5 pre-filled with this holding as the 'from'.</t>
  </si>
  <si>
    <t>NET-NEW: lookBack engine (engine spec 2)</t>
  </si>
  <si>
    <t>prefill: fromTicker=NVDA, amount=current value</t>
  </si>
  <si>
    <t>Uses the same cached price series as everything else.</t>
  </si>
  <si>
    <t xml:space="preserve">   Record buy/sell · History · Edit holding</t>
  </si>
  <si>
    <t>Buttons to record a trade for this ticker (transaction sheet pre-filled), see its past transactions, or edit/delete the holding.</t>
  </si>
  <si>
    <t>EXISTING: TransactionSheet (src/screens/PerformanceScreen.tsx:421), HistorySheet (:567), HoldingEditor (:248)</t>
  </si>
  <si>
    <t>Same sheets as screen 6 — one recording flow app-wide.</t>
  </si>
  <si>
    <t xml:space="preserve">   Dividends received (c28)</t>
  </si>
  <si>
    <t>'Dividends received: $310 this year · $1,240 all time' — from this ticker's DIVIDEND rows in the ledger; feeds the return-composition card.</t>
  </si>
  <si>
    <t>Ledger DIVIDEND rows filtered by ticker (types exist; roll-up NET-NEW).</t>
  </si>
  <si>
    <t>transactions[type=DIVIDEND, ticker]</t>
  </si>
  <si>
    <t>Same rows the account activity shows — one ledger.</t>
  </si>
  <si>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</si>
  <si>
    <t>▶ Holding detail — bond  ·  lens: both</t>
  </si>
  <si>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</si>
  <si>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</si>
  <si>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</si>
  <si>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</si>
  <si>
    <t>ACCESSIBILITY:
The sensitivity card is one spoken block: 'Estimate. If interest rates rise one percent, this bond's market value falls to roughly 87 to 89 thousand dollars.' Down/up always in words. Update value button is 44pt+ and placed directly under the number it edits.</t>
  </si>
  <si>
    <t xml:space="preserve">   Current value + as-of stamp + edit-in-place</t>
  </si>
  <si>
    <t>'$95,000 · value as of Mar 3, 2026' with an Update value button that edits the number right here (no hunting through settings).</t>
  </si>
  <si>
    <t>EXISTING: value = account balance (src/domain/bonds/index.ts:1-3 — a bond's balance IS its current value, flowing to Net Worth). NET-NEW: value_as_of field on AssetAccount (src/domain/assets/index.ts:34) written whenever balance is manually updated; valueFreshness helper (engine spec 3)</t>
  </si>
  <si>
    <t>balance, value_as_of (new)</t>
  </si>
  <si>
    <t>This balance is the exact figure Net Worth and the retirement nest egg use — pinned by the existing balance machinery + agreement test.</t>
  </si>
  <si>
    <t xml:space="preserve">   Bond facts block (face, coupon, maturity)</t>
  </si>
  <si>
    <t>Face value, yearly coupon in % and $, maturity date with 'X years away' in words.</t>
  </si>
  <si>
    <t>EXISTING: bondInfo (src/domain/bonds/index.ts:16), annualCoupon (:21), yearsToMaturity (:24)</t>
  </si>
  <si>
    <t>face_value, coupon_rate, maturity_date</t>
  </si>
  <si>
    <t>The $4,500 yearly coupon is the same number Cash flow's interest income uses — interestIncomeAnnual (src/domain/bonds/index.ts:62); one coupon figure everywhere.</t>
  </si>
  <si>
    <t xml:space="preserve">   Yield lines</t>
  </si>
  <si>
    <t>'Yield if held to maturity: about 5.1%' (estimate-labeled, plain phrase — never the bare acronym) and 'Yield on today's value: 4.7%'.</t>
  </si>
  <si>
    <t>EXISTING: approxYTM (src/domain/bonds/index.ts:33), currentYield (:29)</t>
  </si>
  <si>
    <t>face, couponRate, maturity, value</t>
  </si>
  <si>
    <t>Same helpers the Bonds summary uses (bondSummary :42); no second yield formula.</t>
  </si>
  <si>
    <t xml:space="preserve">   If-interest-rates-move card (rate-sensitivity ESTIMATE)</t>
  </si>
  <si>
    <t>'Rates rise 1% -&gt; value roughly $87,000-$89,000 (down about $7,000); rates fall 1% -&gt; roughly $102,000-$104,000. Held to maturity, $100,000 comes back — assuming the issuer pays as promised.' Always titled 'Estimate, not a prediction'.</t>
  </si>
  <si>
    <t>NET-NEW: bondRateSensitivity(bond, ±1%) in src/domain/bonds — reprices the bond's future payments at approxYTM ± 1% (see engine spec 1); inputs all come from existing bondInfo fields</t>
  </si>
  <si>
    <t>Uses the SAME approxYTM shown above as its starting yield, so the card can never contradict the yield line.</t>
  </si>
  <si>
    <t xml:space="preserve">   Your reported return (past 12 months) — editable here</t>
  </si>
  <si>
    <t>The return the user says this holding actually earned over the past 12 months ('2.1%'), with Edit right on the card. Today this editor only exists on the Retirement screen; it moves home to Invest.</t>
  </si>
  <si>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</si>
  <si>
    <t>actual_ttm (decimal), clearable</t>
  </si>
  <si>
    <t>The Retirement cockpit's portfolio actual return reads this same field via portfolioActualReturn (src/domain/assets/index.ts:73) — edit here, the Retirement number updates; pinned by an agreement test.</t>
  </si>
  <si>
    <t xml:space="preserve">   Record a sale · History · Edit bond details</t>
  </si>
  <si>
    <t>Record a partial or full sale (cash lands in the chosen account), see this bond's transaction history, or fix its facts.</t>
  </si>
  <si>
    <t>EXISTING: 'Record a sale' flow at src/screens/BondsScreen.tsx:135/:212; SELL/COUPON transaction types in src/domain/transactions/index.ts:10; HistorySheet pattern (PerformanceScreen.tsx:567)</t>
  </si>
  <si>
    <t>Transaction { type SELL/COUPON, amount, date }</t>
  </si>
  <si>
    <t>Sales append to the same transaction ledger as stock trades — one history, one audit trail.</t>
  </si>
  <si>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</si>
  <si>
    <t>▶ Holding detail — alternative (crypto, gold, private stakes, annuities, other)  ·  lens: both</t>
  </si>
  <si>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</si>
  <si>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</si>
  <si>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</si>
  <si>
    <t>INTERACTIONS:
Update value = amount + as-of date, one save writes both. 'Yes, keep it' one-taps the re-stamp. Record a sale mirrors the OtherInvestmentsScreen confirm ('part or all?'). Info dot on typical return opens the source note (BENCHMARK_META provenance already in src/domain/assets).</t>
  </si>
  <si>
    <t>ACCESSIBILITY:
Nudge card announced as 'Notice: this value is 7 months old' (notice, not alarm). All buttons full-width, 44pt+. Stale row on the main list carries the same '!' icon PLUS the words 'value 7 months old' — never icon alone.</t>
  </si>
  <si>
    <t xml:space="preserve">   Current value + as-of + edit-in-place</t>
  </si>
  <si>
    <t>'$9,000 · value as of Nov 20, 2025' with Update value right there.</t>
  </si>
  <si>
    <t>EXISTING: value = account balance (alternatives are manually-valued AssetAccounts — src/domain/alternatives/index.ts:1-3, isAlternative :11). NET-NEW: value_as_of stamp + valueFreshness (engine spec 3, shared with bonds)</t>
  </si>
  <si>
    <t>balance, value_as_of (new), kind</t>
  </si>
  <si>
    <t>Same balance Net Worth and the nest egg read; Alternatives group subtotal on Invest main = alternativesSummary.totalValue (src/domain/alternatives/index.ts:16).</t>
  </si>
  <si>
    <t xml:space="preserve">   Stale-value nudge (6+ months)</t>
  </si>
  <si>
    <t>A factual card: how old the value is, keep-or-update choice. 'Yes, keep it' re-stamps the date so the nudge rests for another 6 months.</t>
  </si>
  <si>
    <t>NET-NEW: valueFreshness helper (engine spec 3); UI pattern mirrors the price-staleness warning wording</t>
  </si>
  <si>
    <t>value_as_of</t>
  </si>
  <si>
    <t>One freshness rule (6 months) shared by bonds and alternatives — a single constant, not per-screen numbers.</t>
  </si>
  <si>
    <t xml:space="preserve">   Type + typical-return line</t>
  </si>
  <si>
    <t>The investment's type and the typical yearly return used for projections ('~8.2% for gold/commodities'), labeled as an estimate from history.</t>
  </si>
  <si>
    <t>EXISTING: ASSET_KINDS ret values (src/domain/assets/index.ts:97) via benchmarkReturn (src/domain/assets/index.ts:283); blended view = alternativesSummary (src/domain/alternatives/index.ts:16)</t>
  </si>
  <si>
    <t>kind, benchmarkReturn(kind)</t>
  </si>
  <si>
    <t>Same per-type return the retirement projection uses — if the user overrides it, both places change together.</t>
  </si>
  <si>
    <t>'not set [Add]' or the reported figure with Edit. Same card as on the bond page.</t>
  </si>
  <si>
    <t>EXISTING: actual_ttm (src/domain/assets/index.ts:46) via the shared ReportedReturnEditor (extracted from RetirementCockpit.tsx:940)</t>
  </si>
  <si>
    <t>actual_ttm</t>
  </si>
  <si>
    <t>Feeds portfolioActualReturn (src/domain/assets/index.ts:73) on the Retirement screen — one field, two readers.</t>
  </si>
  <si>
    <t>'What if this had been in the stock market?' — factual comparison of this asset's dollar path vs the market fund over the chosen window.</t>
  </si>
  <si>
    <t>NET-NEW: lookBack engine (engine spec 2); for a manually-valued asset it compares the value change between two dated value entries vs the market's return between those dates</t>
  </si>
  <si>
    <t>balance history / value_as_of pairs, market series</t>
  </si>
  <si>
    <t>Market side uses the same benchmark series as every other comparison.</t>
  </si>
  <si>
    <t xml:space="preserve">   Record a buy / Record a sale / History</t>
  </si>
  <si>
    <t>Add money in, take money out (part or all), and the audit trail. Cash side lands in a chosen account.</t>
  </si>
  <si>
    <t>EXISTING: 'Record a sale' flow at src/screens/OtherInvestmentsScreen.tsx:99/:136 ('alternatives are sellable too'); transaction ledger types (src/domain/transactions/index.ts:10)</t>
  </si>
  <si>
    <t>Transaction { BUY/SELL/DEPOSIT/WITHDRAWAL, amount, date }</t>
  </si>
  <si>
    <t>Same ledger and history sheet as stocks and bonds.</t>
  </si>
  <si>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</si>
  <si>
    <t>▶ Look back — what if I'd moved money?  ·  lens: both</t>
  </si>
  <si>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</si>
  <si>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</si>
  <si>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</si>
  <si>
    <t>INTERACTIONS:
Any input change recomputes instantly. 'Try another look-back' resets inputs but keeps the panel visible for comparison memory. No share/save in v1 (keeps the feature reflective, not performative).</t>
  </si>
  <si>
    <t>ACCESSIBILITY:
Result read as a sentence pair, difference last. 'Down $600' and 'up $2,020' as words + arrows. Inputs are standard labeled fields; the caption is real text at 100% contrast, not a footnote-grey whisper.</t>
  </si>
  <si>
    <t xml:space="preserve">   Inputs: amount, from, to, when</t>
  </si>
  <si>
    <t>Dollar amount, source (any priced holding or 'cash'), destination (any priced ticker or the market fund), and how far back (6 / 12 / 24 / 36 months).</t>
  </si>
  <si>
    <t>EXISTING pickers: held tickers from positions (accountAllowsTicker, src/domain/assets/index.ts:83); market fund default from benchmarkTicker (src/domain/performance/index.ts:132). NET-NEW: the lookBack computation (engine spec 2)</t>
  </si>
  <si>
    <t>amount, fromTicker|cash, toTicker, monthsBack</t>
  </si>
  <si>
    <t>Ticker lists come from the same holdings shown on Invest main — nothing pickable here that isn't tracked there.</t>
  </si>
  <si>
    <t xml:space="preserve">   What actually happened panel</t>
  </si>
  <si>
    <t>Both paths in dollars with up/down words and percents, then the factual difference. Wording is past-tense throughout ('became', 'would be').</t>
  </si>
  <si>
    <t>NET-NEW: lookBack(amount, from, to, monthsBack, priceOf) in src/domain/performance — reuses the existing period-return machinery (periodReturn :105 / closeAsOf internals) on the cached series; 'cash' path = amount unchanged</t>
  </si>
  <si>
    <t>endValueFrom, endValueTo, difference, per-path return</t>
  </si>
  <si>
    <t>The per-path returns equal what the same tickers show on Invest main for the same window — same series, same helper family; pinned by a test comparing lookBack vs periodReturn.</t>
  </si>
  <si>
    <t xml:space="preserve">   Honesty caption</t>
  </si>
  <si>
    <t>'Real past prices; not a prediction of what happens next.' Fixed, non-dismissible.</t>
  </si>
  <si>
    <t>Copy contract (product identity); mirrors the 'estimate, not a prediction' caption on forward what-ifs</t>
  </si>
  <si>
    <t>Backward = 'facts about the past'; forward = 'estimate, not a prediction' — the two captions are never mixed.</t>
  </si>
  <si>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</si>
  <si>
    <t>▶ What if I add more? (forward what-if)  ·  lens: both</t>
  </si>
  <si>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</si>
  <si>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</si>
  <si>
    <t>BUILD NOTE:
Engines EXIST (projectNestEgg, simulate band); screen is NET-NEW and satisfies the approved high-level design's Invest what-if (verification blocker #2). Distinct-from-Look-back rule per the Look-back build note.</t>
  </si>
  <si>
    <t>INTERACTIONS:
Slider/rate changes recompute the two paths and the chance delta on release (seeded runs, no flicker). Use this plan -&gt; shared adoption sheet. Cross-link -&gt; Look back.</t>
  </si>
  <si>
    <t>ACCESSIBILITY:
Result reads as one sentence with the range last. Sliders have steppers + typed entry. 'Estimate, not a promise' is real text. Rate picker is a radio group.</t>
  </si>
  <si>
    <t xml:space="preserve">   Add-each-month slider + growth-rate picker</t>
  </si>
  <si>
    <t>Monthly amount to add on top of today's saving, and a plain growth-rate choice (5/6/7% presets + your own). Trying it out — nothing changes until adopted.</t>
  </si>
  <si>
    <t>Local trying-it-out state (useScenario pattern from the F11 composer); rate presets from the same expectedReturn conventions the Plan uses (retirementAssumptions, src/store/useStore.ts:427).</t>
  </si>
  <si>
    <t>addMonthly, rate (both local while trying it out); base = shared assumptions contribMonthly + expectedReturn</t>
  </si>
  <si>
    <t>PIN: 'today's path' baseline = the same projection the Plan and Net worth show — shared assumptions in, same engine out.</t>
  </si>
  <si>
    <t xml:space="preserve">   Path-by-retire-age result (with range)</t>
  </si>
  <si>
    <t>'Today's path ~$1.31M · with $750 more ~$1.55M, range $1.2M–$1.9M in bad-to-good markets' — the range is the honest part; a single point would be a prediction.</t>
  </si>
  <si>
    <t>EXISTING: projectNestEgg (src/domain/retirement/index.ts:198) for the paths; the bad-to-good range from simulate() with_band (src/domain/retirement/index.ts:115) at the retire age.</t>
  </si>
  <si>
    <t>contribMonthly + addMonthly, expectedReturn/rate, retireAge, current invested balances</t>
  </si>
  <si>
    <t>PIN: the same engines as Plan's will-it-last detail band — one projection math; a scenario adopted here shows the identical numbers there.</t>
  </si>
  <si>
    <t xml:space="preserve">   Will-it-last delta</t>
  </si>
  <si>
    <t>'84% -&gt; 89%' — what the extra saving does to the one canonical chance number, estimate-labeled.</t>
  </si>
  <si>
    <t>EXISTING: simulate() (seeded) run on base and on base+patch; base read through the same selectWillItLast selector the hub uses.</t>
  </si>
  <si>
    <t>chance before/after</t>
  </si>
  <si>
    <t>PIN: 'before' = hub headline to the digit (same selector, agreement-tested).</t>
  </si>
  <si>
    <t xml:space="preserve">   Use this plan</t>
  </si>
  <si>
    <t>Opens the SHARED adoption sheet (F11): previews 'monthly saving $1,500 -&gt; $2,250', writes to the one shared assumptions source on confirm, one-tap revert.</t>
  </si>
  <si>
    <t>NET-NEW per F11 contract: patch {contribMonthly += addMonthly, expectedReturn if changed} through scenarioDiff/adoptPlan — the same sheet Social Security, multi-goal, and Roth use.</t>
  </si>
  <si>
    <t>patch: contribMonthly, expectedReturn</t>
  </si>
  <si>
    <t>PIN: post-adoption, Home hero, Cash flow, Plan hub, and Net worth's future path all re-derive from the one source (F11 propagation map).</t>
  </si>
  <si>
    <t xml:space="preserve">   Look back cross-link</t>
  </si>
  <si>
    <t>'Curious about the past? Look back instead' — the two what-ifs stay visually distinct: forward = sliders + range + estimate; backward = dropdowns + exact past numbers + facts caption.</t>
  </si>
  <si>
    <t>Navigation to the Look-back screen (already designed).</t>
  </si>
  <si>
    <t>The forward/backward caption rule: forward says 'estimate, not a promise'; backward says 'real past prices, not a prediction' — never mixed.</t>
  </si>
  <si>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</si>
  <si>
    <t>▶ Record a transaction + History  ·  lens: both</t>
  </si>
  <si>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</si>
  <si>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</si>
  <si>
    <t>BUILD NOTE:
Fully EXISTING (TransactionSheet + HistorySheet + ledger engine). Work is placement: surface both from the Invest tab and every detail page, and add COUPON/alt-sale rows to the visible history copy (types already exist in the ledger).</t>
  </si>
  <si>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</si>
  <si>
    <t>ACCESSIBILITY:
Type chips are a radio group. Guardrail messages are polite live-region announcements ('This buy costs more than the cash available'). History rows read as full sentences including the date.</t>
  </si>
  <si>
    <t xml:space="preserve">   Type chips (Buy / Sell / Deposit / Withdraw / Transfer / Dividend-Interest)</t>
  </si>
  <si>
    <t>Which movement is being recorded; the form below adapts. Bond coupons and alternative sales route through the same ledger with their own types.</t>
  </si>
  <si>
    <t>EXISTING: TxnType union — BUY, SELL, DEPOSIT, WITHDRAWAL, TRANSFER, TRANSFER_IN_KIND, DIVIDEND, INTEREST, COUPON, FEE, OPENING_* (src/domain/transactions/index.ts:10); UI = TransactionSheet (src/screens/PerformanceScreen.tsx:421)</t>
  </si>
  <si>
    <t>type</t>
  </si>
  <si>
    <t>One ledger type list app-wide; bond/alt sale flows (BondsScreen.tsx:135, OtherInvestmentsScreen.tsx:99) write the same types.</t>
  </si>
  <si>
    <t xml:space="preserve">   Adaptive form + guardrails</t>
  </si>
  <si>
    <t>Account, ticker/holding, shares, price, amount, date; live checks: 'Cash available $4,120 — this buy costs $2,854 — OK' or a plain block ('you only hold 8 shares').</t>
  </si>
  <si>
    <t>EXISTING: validity + availableCash guards inside TransactionSheet (PerformanceScreen.tsx:421 onward: enough/sellOk/tickerOk); pure application = applyTransaction (src/domain/transactions)</t>
  </si>
  <si>
    <t>account_id, ticker, shares, price, amount, reinvested, date</t>
  </si>
  <si>
    <t>The cash sleeve the guard reads is the same cash_balance recomputeBalances folds into the account value — guard and balance can't disagree.</t>
  </si>
  <si>
    <t xml:space="preserve">   Account/holding pickers filtered by class</t>
  </si>
  <si>
    <t>Trades list only accounts that can hold tickers; bond coupons attach to the bond; alternative sales attach to the alternative. Duplicate account names get a kind tag so chips are tellable-apart.</t>
  </si>
  <si>
    <t>EXISTING: accountAllowsTicker (src/domain/assets/index.ts:83), assetClassOf routing; name-collision disambiguation (B-43 fix, in TransactionSheet)</t>
  </si>
  <si>
    <t>accounts filtered per type</t>
  </si>
  <si>
    <t>Same class rules that group the Invest main list.</t>
  </si>
  <si>
    <t xml:space="preserve">   History list</t>
  </si>
  <si>
    <t>Every transaction newest-first in plain sentences ('Bought 10 VTI at $285'), including bond coupons and alternative part-sales; swipe left to delete (with confirm + balance rollback).</t>
  </si>
  <si>
    <t>EXISTING: HistorySheet (src/screens/PerformanceScreen.tsx:567); transactions stored append-only with created_at audit stamp (src/domain/transactions/index.ts:22)</t>
  </si>
  <si>
    <t>Transaction rows</t>
  </si>
  <si>
    <t>History is the explanation of the balances — replaying it through applyTransaction reproduces the account state (existing engine contract).</t>
  </si>
  <si>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</si>
  <si>
    <t>▶ Empty, stale, hidden &amp; loading states  ·  lens: both</t>
  </si>
  <si>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</si>
  <si>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</si>
  <si>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</si>
  <si>
    <t>INTERACTIONS:
Refresh triggers a fetch and updates the freshness line. The hidden-balances eye works on every Invest screen identically. Empty-state buttons open the same editors as the main screen.</t>
  </si>
  <si>
    <t>ACCESSIBILITY:
Masked amounts announced as 'amount hidden'. Stale banner is an alert region announced once, not on every scroll. Empty state text is the first focus target, buttons second.</t>
  </si>
  <si>
    <t xml:space="preserve">   Empty state</t>
  </si>
  <si>
    <t>A plain invitation naming all classes (stocks, funds, bonds, crypto, gold) with Add and Import paths. No zeroed charts, no $0 return.</t>
  </si>
  <si>
    <t>EXISTING entry points: HoldingEditor (PerformanceScreen.tsx:248), CSV import flow (src/screens/ImportHoldingsScreen.tsx)</t>
  </si>
  <si>
    <t>positions empty AND no bond/alternative accounts</t>
  </si>
  <si>
    <t>Empty is defined the same way the main screen groups: no rows from any of the three classes.</t>
  </si>
  <si>
    <t xml:space="preserve">   Stale-price banner + per-holding fallback</t>
  </si>
  <si>
    <t>One banner when the cache is 4+ days old (with Refresh); per-holding 'no current price — showing what you paid' rows for missing tickers, plus a symbol-typo hint.</t>
  </si>
  <si>
    <t>EXISTING: priceFreshness (src/services/marketData.ts:60, stale at &gt;= 4 days), B-19 cost-basis fallback (recomputeBalances, src/store/useStore.ts:13), isPlausibleTicker (marketData.ts:53)</t>
  </si>
  <si>
    <t>pricesFetchedAt, per-ticker cache hits</t>
  </si>
  <si>
    <t>The fallback value shown is the same costBasis the header math uses — the screen never shows $0 for a holding it counts at cost in totals.</t>
  </si>
  <si>
    <t xml:space="preserve">   Hidden-balances rendering</t>
  </si>
  <si>
    <t>Every dollar amount becomes •••• everywhere on the tab (glance, lists, details, history, look-back); percentages, points, dates, share counts stay.</t>
  </si>
  <si>
    <t>EXISTING: useMoney hook + BALANCE_MASK (src/components/useMoney.ts); global toggle in TopBar (src/components/TopBar.tsx:100)</t>
  </si>
  <si>
    <t>hideBalances store flag</t>
  </si>
  <si>
    <t>One masking rule via one hook — any new Invest surface MUST render money through useMoney (build gate: no raw money() for balances).</t>
  </si>
  <si>
    <t xml:space="preserve">   Loading behavior</t>
  </si>
  <si>
    <t>Shimmer over the glance with 'Updating prices…' and the last-updated stamp; cached numbers replace the shimmer as soon as they exist. Manual values (bonds/alts) never shimmer — they're local.</t>
  </si>
  <si>
    <t>EXISTING: fetchPriceSeries (src/services/marketData.ts:73) + cached store.priceCache</t>
  </si>
  <si>
    <t>pricesFetchedAt, in-flight flag</t>
  </si>
  <si>
    <t>Whatever number replaces the shimmer is the same one the freshness line describes.</t>
  </si>
  <si>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</si>
  <si>
    <t>▶ Cash flow main — retired  ·  lens: Retired</t>
  </si>
  <si>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</si>
  <si>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</si>
  <si>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</si>
  <si>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</si>
  <si>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</si>
  <si>
    <t xml:space="preserve">   Dated month header</t>
  </si>
  <si>
    <t>'Cash flow · July 2026' — the window is anchored to today's real month and slides forward each month.</t>
  </si>
  <si>
    <t>EXISTING pattern promoted: cashflowYear in src/domain/cashflow/index.ts already anchors a rolling 12-month window to the current month (startMonth/startYear, lines ~147-232) and adds the year to labels after the wrap ('Jan \u201927'). This anchor becomes the F2 canonical grid's anchor.</t>
  </si>
  <si>
    <t>current month, current year</t>
  </si>
  <si>
    <t>PIN: every by-month surface (bars, month detail, bill calendar) uses the same anchor month and the same 12 dated cells.</t>
  </si>
  <si>
    <t xml:space="preserve">   Safe to spend — this month (hero)</t>
  </si>
  <si>
    <t>$5,840 — the current month's paycheck: guaranteed income + safe draw − big bills landing this month.</t>
  </si>
  <si>
    <t>NET-NEW: F5 paycheck engine (see engine spec). Composes existing helpers; the number itself does not exist anywhere in code today.</t>
  </si>
  <si>
    <t>F5 month cell: guaranteed[], safeDraw, bills[], netSafeToSpend</t>
  </si>
  <si>
    <t>PIN: hero = the F5 cell for the current month = that month's bar = the month-detail total. One cell, four surfaces, one agreement test.</t>
  </si>
  <si>
    <t xml:space="preserve">   Safe to spend — this year</t>
  </si>
  <si>
    <t>~$71,600 with an 'estimate' tag — the sum of the 12 dated cells, so lumpy months are counted as they really fall.</t>
  </si>
  <si>
    <t>NET-NEW: F5 paycheck engine yearly roll-up. Explicitly NOT monthly × 12 (the 65+ accuracy rule: never a flat average).</t>
  </si>
  <si>
    <t>F5 rollup.thisYear = sum of 12 netSafeToSpend cells</t>
  </si>
  <si>
    <t>PIN: this-year = exact sum of the 12 by-month cells shown below it; a test adds the bars and must hit this number.</t>
  </si>
  <si>
    <t xml:space="preserve">   Guaranteed income, by named source</t>
  </si>
  <si>
    <t>'Social Security $2,600' and 'Pension $1,600' as separate named lines — never a lumped 'income' figure.</t>
  </si>
  <si>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</si>
  <si>
    <t>ri_ss, ri_pension, ri_annuities, ri_other (ri_withdrawals/ri_rmd EXCLUDED — replaced by the solved safe draw + the pinned required withdrawal, so nothing is counted twice), ri_*_freq, NET-NEW ri_*_month (which month an annual/quarterly source lands)</t>
  </si>
  <si>
    <t>PIN: the named source lines sum exactly to the 'Guaranteed' subtotal, and the same per-source amounts appear in month detail.</t>
  </si>
  <si>
    <t xml:space="preserve">   Safe draw line</t>
  </si>
  <si>
    <t>'+ Safe draw $1,640' — the steady monthly amount the will-it-last simulation says your savings can support, re-derived from live account balances.</t>
  </si>
  <si>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</si>
  <si>
    <t>tax_bucket, earmarked balances, simulate inputs adopted from Plan</t>
  </si>
  <si>
    <t>PIN: the same safe-draw dollar appears in the hero, every month detail, and the steer sheet — one solved number, cached, one test.</t>
  </si>
  <si>
    <t xml:space="preserve">   Big bills line</t>
  </si>
  <si>
    <t>'− Big bills (Jul) $0' — only the dated, non-monthly bills that land in THAT month (property tax, insurance, a trip). Everyday monthly bills are what the safe-to-spend is FOR, so they are not subtracted here.</t>
  </si>
  <si>
    <t>EXISTING: non-monthly spending categories placed in their due months by spendByMonth (src/domain/budget/index.ts, lines ~128-154) and dated to the day by upcomingBills (src/domain/cashflow/index.ts). Deferred debts join via the NET-NEW first_payment_date field (src/domain/debt/index.ts).</t>
  </si>
  <si>
    <t>spendCats bucket='nonmonthly', months, dueDay, NET-NEW year; Debt.due_day, NET-NEW Debt.first_payment_date</t>
  </si>
  <si>
    <t>PIN: a month's big-bill total here = the same month's dated bills on the Bill calendar and in month detail.</t>
  </si>
  <si>
    <t xml:space="preserve">   By-month bars (dated, 12 months)</t>
  </si>
  <si>
    <t>Twelve bars labeled 'Jul 26' … 'Jun 27', each split into money-in (guaranteed + safe draw) and money-out (bills), with a word/icon flag on unusual months ('! Property tax', '+ Pension lump') so the story is readable without color.</t>
  </si>
  <si>
    <t>EXISTING engine promoted: cashflowYear in src/domain/cashflow/index.ts (the only dated rolling grid today — real next-occurrence placement, explicit month+year support via slotForMY, year-wrap labels) becomes the F2 canonical grid; F5 writes the retiree income rows into it.</t>
  </si>
  <si>
    <t>F2 cell: calendarMonth, year, label, inflow, outflow, net, runningBalance, incomeItems[], billItems[]</t>
  </si>
  <si>
    <t>PIN: bar heights come from the same F2 cells as the Bill calendar rows and the month-detail lists — one grid, no second math.</t>
  </si>
  <si>
    <t xml:space="preserve">   Draw-order preview</t>
  </si>
  <si>
    <t>'Draw comes from: 1 Cash, 2 Taxable, 3 Pre-tax, 4 Roth' with 'Steer it' and 'Why?' links — the order the math would tap accounts, not a directive.</t>
  </si>
  <si>
    <t>EXISTING: withdrawalOrder(split, age) in src/domain/decumulation/index.ts, fed by taxBucketSplit. Already includes plain-English 'why' text per step and pins the legally required withdrawal from pre-tax accounts first at age 73+ (RMD_START_AGE, rmdAtAge).</t>
  </si>
  <si>
    <t>BucketSplit {cash, taxable, preTax, roth}, age, OrderStep.why</t>
  </si>
  <si>
    <t>PIN: bucket balances shown = taxBucketSplit of the same live accounts Net worth shows; the four buckets sum to the nest egg used by the safe draw.</t>
  </si>
  <si>
    <t>'Will my money last? Likely — 84% (estimate, range 71–95%)' with a link to Plan, where the full answer lives.</t>
  </si>
  <si>
    <t>EXISTING: simulate() in src/domain/retirement/index.ts (probability of success plus percentile band with with_band). Canonical home is the Plan tab; this strip only mirrors it.</t>
  </si>
  <si>
    <t>chance_of_success, band p10/p50/p90, seed</t>
  </si>
  <si>
    <t>PIN: identical percentage as Plan — same inputs, same seeded simulation run; an agreement test compares the two surfaces.</t>
  </si>
  <si>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</si>
  <si>
    <t>▶ Cash flow main — working  ·  lens: Working</t>
  </si>
  <si>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</si>
  <si>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</si>
  <si>
    <t>BUILD NOTE:
Mostly a re-arrangement of what CashFlowScreen.tsx already computes; the two real changes are (1) swapping its calendar January-December grids for the dated F2 grid, and (2) the net-new projection card via F5's projection mode.</t>
  </si>
  <si>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</si>
  <si>
    <t>ACCESSIBILITY:
Surplus announced with direction words ('one thousand seven hundred forty dollars ahead'). Projection card is announced with its estimate disclaimer first. Bars carry full per-month spoken values.</t>
  </si>
  <si>
    <t xml:space="preserve">   This-month in / out / surplus</t>
  </si>
  <si>
    <t>Take-home in ($8,210), bills + debt out ($6,470), surplus ($1,740) — the after-debt surplus definition the whole app uses. Investment income (dividends/interest) appears as its OWN labeled line when present — never silently mixed into take-home (c21).</t>
  </si>
  <si>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</si>
  <si>
    <t>salaryByMonth, tipsMonthly, c_401k, spendCats, Debt.monthly_payment/minimum_monthly_payment</t>
  </si>
  <si>
    <t>PIN: surplus here = Home glance surplus = Budget surplus (existing canonical after-debt definition, 2026-06-23 decision) — the current agreement test extends to this screen.</t>
  </si>
  <si>
    <t xml:space="preserve">   Spent-so-far line</t>
  </si>
  <si>
    <t>'Spent so far $2,890 of $5,230 planned' — this month's actual against plan, so 'in/out' is not just theory.</t>
  </si>
  <si>
    <t>EXISTING: budgetVsActual in src/domain/budget/index.ts (planned_total, spent_total), already on CashFlowScreen.tsx.</t>
  </si>
  <si>
    <t>expenses[], spendCats</t>
  </si>
  <si>
    <t>PIN: matches the Budget screen's this-month planned-vs-actual exactly (same helper, same date).</t>
  </si>
  <si>
    <t xml:space="preserve">   By-month dated bars (working)</t>
  </si>
  <si>
    <t>Jul 26 … Jun 27 bars of take-home vs spending, with lumpy items in their real months and word flags ('+ Bonus lands Mar').</t>
  </si>
  <si>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</si>
  <si>
    <t>bonusAnnual + bonusMonth, rsuGrants[].date, benefitMonths, otherAmount + otherMonth + NET-NEW real date, salaryByMonth</t>
  </si>
  <si>
    <t>PIN (new, v1.1): the canonical grid and every surface place one-time and lumpy income in the SAME month — one placement test walks bonus/vesting/one-time across Home, Cash flow, Budget, and Plan.</t>
  </si>
  <si>
    <t xml:space="preserve">   Future paycheck projection card</t>
  </si>
  <si>
    <t>'Your future paycheck — PROJECTION, an estimate, not a promise. At 67: ~$6,100 a month (Social Security ~$2,900 + safe draw ~$3,200).'</t>
  </si>
  <si>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</si>
  <si>
    <t>ri_* (future entries), retire age, projected_at_retirement</t>
  </si>
  <si>
    <t>PIN: this card's numbers = the Plan tab's retirement-paycheck numbers, because both are one F5 projection run; the 'estimate' label is mandatory copy, not a style choice.</t>
  </si>
  <si>
    <t>'Will my money last? Likely — 84% (estimate)' linking to Plan.</t>
  </si>
  <si>
    <t>EXISTING: simulate() chance_of_success, src/domain/retirement/index.ts. Plan is the canonical home.</t>
  </si>
  <si>
    <t>PIN: identical percentage as Plan (same seeded run).</t>
  </si>
  <si>
    <t xml:space="preserve">   Plan commitments line (working lens)</t>
  </si>
  <si>
    <t>Once a multi-goal plan is adopted, each commitment appears as a named line ('Parents $2,000/mo · from your Plan') and the surplus line becomes 'Free to spend AFTER your plan' — the month never silently overstates free money.</t>
  </si>
  <si>
    <t>NET-NEW: reads commitments[] from the F11 shared assumptions (the adoption patch); subtracted after bills+debt in the displayed free-to-spend.</t>
  </si>
  <si>
    <t>commitments[] {label, monthlyAmount}</t>
  </si>
  <si>
    <t>PIN: the composer's 'shortfall here can never coexist with a surplus on Cash flow' — now satisfiable on THIS lens: adopted commitments visibly reduce free-to-spend (the walkthrough's trust-breaker).</t>
  </si>
  <si>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</si>
  <si>
    <t>▶ Month detail  ·  lens: Both (retired example shown)</t>
  </si>
  <si>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</si>
  <si>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</si>
  <si>
    <t>BUILD NOTE:
Net-new screen, but it is a pure renderer over one F2/F5 cell — no math of its own. Cheapest correct build: pass the cell object in and forbid any recomputation in the component (mirrors the one-concept-one-helper rule).</t>
  </si>
  <si>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</si>
  <si>
    <t>ACCESSIBILITY:
The screen reads top-to-bottom as a sentence: month, headline, why, then rows. Each row announces name, date in full ('November fifteenth'), and amount. Plus/minus announced as 'in'/'out'.</t>
  </si>
  <si>
    <t xml:space="preserve">   Dated month title</t>
  </si>
  <si>
    <t>'November 2026' — full month and year, from the tapped F2 cell.</t>
  </si>
  <si>
    <t>F2 canonical grid cell (promoted cashflowYear, src/domain/cashflow/index.ts — its label logic already appends the year across the wrap).</t>
  </si>
  <si>
    <t>cell.calendarMonth, cell.year</t>
  </si>
  <si>
    <t>PIN: title matches the tapped bar's label exactly.</t>
  </si>
  <si>
    <t xml:space="preserve">   Safe to spend headline + reason line</t>
  </si>
  <si>
    <t>$3,940 with one plain sentence for unusual months ('lower than usual — property tax lands this month').</t>
  </si>
  <si>
    <t>NET-NEW: F5 paycheck engine — this is the same cell's netSafeToSpend the bar and (for the current month) the hero show; the reason line names the largest dated bill in the cell.</t>
  </si>
  <si>
    <t>F5 cell.netSafeToSpend, cell.bills[] (largest)</t>
  </si>
  <si>
    <t>PIN: headline = bar = hero (when current month); the agreement test sums the visible rows and must reproduce it.</t>
  </si>
  <si>
    <t xml:space="preserve">   Money-in list with real dates</t>
  </si>
  <si>
    <t>'Social Security · 3rd · $2,600', 'Pension · 1st · $1,600', 'Safe draw · $1,640' (retired) or salary/bonus/vesting rows (working). Day shown when known; plain month otherwise — no invented dates.</t>
  </si>
  <si>
    <t>EXISTING amounts: retirementIncomeMonthly per-source fields (src/domain/income/onboarding.ts) / salaryGrossByMonth, bonusMonth, rsuGrants vest dates (same file). NET-NEW: per-source pay-day field (optional) and F5's per-month placement.</t>
  </si>
  <si>
    <t>ri_* + ri_*_freq + NET-NEW ri_*_day, salaryByMonth, bonusMonth, rsuGrants[].date</t>
  </si>
  <si>
    <t>PIN: per-source amounts equal the named lines on the main screen's guaranteed decomposition.</t>
  </si>
  <si>
    <t xml:space="preserve">   Big bills list (dated)</t>
  </si>
  <si>
    <t>'Property tax · Nov 15 · −$1,900' — the dated non-monthly bills that reduce this month's safe-to-spend.</t>
  </si>
  <si>
    <t>EXISTING: non-monthly spending categories in their months (spendByMonth, src/domain/budget/index.ts) with day-level dates from upcomingBills (src/domain/cashflow/index.ts: dueDate built from months + dueDay).</t>
  </si>
  <si>
    <t>spendCats months/dueDay/amount, NET-NEW year on one-off bills</t>
  </si>
  <si>
    <t>PIN: identical bill rows (label, date, amount) as the Bill calendar's 'Coming up' for this month.</t>
  </si>
  <si>
    <t xml:space="preserve">   Regular bills list</t>
  </si>
  <si>
    <t>'Mortgage · 1st · $1,240', 'Car insurance · 20th · $310' — the everyday bills the safe-to-spend envelope pays for, listed for completeness but NOT subtracted twice.</t>
  </si>
  <si>
    <t>EXISTING: monthly spending categories (spendBuckets/spendByMonth, src/domain/budget/index.ts) and debt payments (requiredPayment + due_day, src/domain/debt/index.ts). A deferred debt appears here only from its NET-NEW first_payment_date onward.</t>
  </si>
  <si>
    <t>spendCats monthly bucket, Debt.due_day, Debt.monthly_payment, NET-NEW Debt.first_payment_date</t>
  </si>
  <si>
    <t>PIN: a deferred debt shows in NO month before its first payment date, on any surface (grid, calendar, this list) — one test walks all three.</t>
  </si>
  <si>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</si>
  <si>
    <t>▶ Bill calendar v2  ·  lens: Both</t>
  </si>
  <si>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</si>
  <si>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</si>
  <si>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</si>
  <si>
    <t>INTERACTIONS:
Tap a row → Month detail for that dated month. Tap a coming-up bill → edit it. 'Add a dated bill' → the form above. Editing cash on hand re-chains all 12 End balances immediately.</t>
  </si>
  <si>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</si>
  <si>
    <t xml:space="preserve">   Window title</t>
  </si>
  <si>
    <t>'July 2026 – June 2027' — states the dated window outright.</t>
  </si>
  <si>
    <t>F2 canonical grid anchor (promoted cashflowYear, src/domain/cashflow/index.ts).</t>
  </si>
  <si>
    <t>anchor month/year</t>
  </si>
  <si>
    <t>PIN: same window as the Cash flow bars.</t>
  </si>
  <si>
    <t xml:space="preserve">   Cash on hand</t>
  </si>
  <si>
    <t>$18,400 auto-filled from linked accounts, editable — the starting balance the table carries forward.</t>
  </si>
  <si>
    <t>EXISTING: cashTotal(accounts) in src/domain/assets (already how BillCalendarScreen.tsx seeds its input), with the manual-edit affordance kept.</t>
  </si>
  <si>
    <t>asset accounts, tax_bucket cash</t>
  </si>
  <si>
    <t>PIN: equals the cash figure Net worth shows for the same accounts.</t>
  </si>
  <si>
    <t xml:space="preserve">   Verdict line</t>
  </si>
  <si>
    <t>'OK — you stay above zero in all 12 months; lowest point $18,400 (today)' or 'Careful — short in Nov 2026 and Jan 2027', always with the dated month named.</t>
  </si>
  <si>
    <t>EXISTING: cashflowYear's shortMonths and lowestBalance (src/domain/cashflow/index.ts), carried into F2.</t>
  </si>
  <si>
    <t>cell.runningBalance, shortMonths, lowestBalance</t>
  </si>
  <si>
    <t>PIN: the flagged months match the '!' flags on the Cash flow bars.</t>
  </si>
  <si>
    <t xml:space="preserve">   12-row dated table (In / Out / End)</t>
  </si>
  <si>
    <t>One row per dated month, Jul 26 → Jun 27, with inflow, outflow, and end-of-month balance; short months flagged with '!' plus a word.</t>
  </si>
  <si>
    <t>EXISTING: cashflowYear already returns exactly this shape ({label, inflow, outflow, net, balance} × 12 with year-wrap labels); it is promoted to F2 and re-read here.</t>
  </si>
  <si>
    <t>F2 cells</t>
  </si>
  <si>
    <t>PIN: row In/Out = the Cash flow bar's in/out for the same cell; End chains exactly (previous End + In − Out).</t>
  </si>
  <si>
    <t xml:space="preserve">   Coming up (day-level big bills)</t>
  </si>
  <si>
    <t>'Property tax $1,900 due Nov 15, 2026 — covered: about $24,900 there by Nov 13' or, when short, how much to set aside and by when.</t>
  </si>
  <si>
    <t>EXISTING: upcomingBills in src/domain/cashflow/index.ts (dueDate, needByDate two days before, askByDate, availableByNeed, shortfall). Copy re-aimed at 55-70: the cover source reads 'your savings or a backup', not a family ask.</t>
  </si>
  <si>
    <t>UpcomingBill: dueDate, needByDate, askByDate, shortfall, availableByNeed</t>
  </si>
  <si>
    <t>PIN: each bill's amount and date match its row in Month detail and its month's Out on the table.</t>
  </si>
  <si>
    <t xml:space="preserve">   Add / edit a dated bill</t>
  </si>
  <si>
    <t>A small form: name, amount, due date (day, month, AND year for one-offs), repeats-yearly toggle, essential-or-flexible.</t>
  </si>
  <si>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</si>
  <si>
    <t>spendCats: label, amount, months[], dueDay, tier, NET-NEW year</t>
  </si>
  <si>
    <t>PIN: saving a bill updates the F2 cells once, and the table, bars, hero, and month detail all move together — one recompute event.</t>
  </si>
  <si>
    <t xml:space="preserve">   Deferred debt row</t>
  </si>
  <si>
    <t>'Car loan (new) — first payment Mar 1, 2027, $385/month' — visible now, but Out rows before Mar 27 show no payment for it.</t>
  </si>
  <si>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</si>
  <si>
    <t>Debt.first_payment_date (NET-NEW), due_day, monthly_payment, minimum_monthly_payment, interest_rate_apr</t>
  </si>
  <si>
    <t>PIN (new, v1.1): no surface shows a payment for a deferred debt before its first payment date, and the payoff plan's debt-free date reflects the deferral — one test covers grid, calendar, month detail, and payoff math.</t>
  </si>
  <si>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</si>
  <si>
    <t>▶ Draw-order steer sheet  ·  lens: Retired (working sees it in projection mode)</t>
  </si>
  <si>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</si>
  <si>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</si>
  <si>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</si>
  <si>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</si>
  <si>
    <t>ACCESSIBILITY:
Reordering works via buttons (not drag-only). Each bucket announces name, balance, and position ('Pre-tax, four hundred fifteen thousand dollars, third of four — move up, move down'). The before/after comparison is read as a sentence, arrows never carry the meaning alone.</t>
  </si>
  <si>
    <t xml:space="preserve">   Bucket list with balances</t>
  </si>
  <si>
    <t>Cash $38,000 / Taxable $210,000 / Pre-tax $415,000 / Roth $88,000, numbered in draw order, with up/down reorder controls.</t>
  </si>
  <si>
    <t>EXISTING: taxBucketSplit(accounts) in src/domain/decumulation/index.ts (retirement-earmarked portion via earmarkedAmount, src/domain/assets); suggested order + per-step balances from withdrawalOrder(split, age) (same file).</t>
  </si>
  <si>
    <t>AssetAccount.tax_bucket, earmark, age</t>
  </si>
  <si>
    <t>PIN: the four balances sum to the nest egg behind the safe draw and match Net worth's grouping of the same accounts.</t>
  </si>
  <si>
    <t xml:space="preserve">   Pinned required-withdrawal step (age 73+)</t>
  </si>
  <si>
    <t>For users 73 or older, step 1 becomes 'Required withdrawal — first: $15,660' with the sentence that the law makes you take this from pre-tax accounts whether you need it or not; it cannot be reordered.</t>
  </si>
  <si>
    <t>EXISTING: withdrawalOrder already injects this step using RMD_START_AGE (73) and rmdAtAge(preTax, age) with the Uniform Lifetime Table divisors (src/domain/decumulation/index.ts).</t>
  </si>
  <si>
    <t>age, preTax balance, rmdDivisor</t>
  </si>
  <si>
    <t>PIN: the required amount here = the required-withdrawal figure shown in Plan's retirement section (same helper, same balance).</t>
  </si>
  <si>
    <t xml:space="preserve">   Why explainer</t>
  </si>
  <si>
    <t>One plain sentence per bucket ('Cash first — it earns the least, so it goes first, before inflation eats it', 'Roth last — tax-free growth, so let it run'), shown in a tap-through sheet.</t>
  </si>
  <si>
    <t>EXISTING: the why strings are already authored on each OrderStep in withdrawalOrder (src/domain/decumulation/index.ts) — reuse verbatim, they are already plain English.</t>
  </si>
  <si>
    <t>OrderStep.why</t>
  </si>
  <si>
    <t>PIN: identical wording wherever the order is explained (main-screen preview and this sheet render the same strings).</t>
  </si>
  <si>
    <t xml:space="preserve">   Re-run comparison</t>
  </si>
  <si>
    <t>'With your order: Will my money last 84% → 82%, lasts to age 92 → 90 (estimates)' — suggested versus user order, side by side, before committing.</t>
  </si>
  <si>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</si>
  <si>
    <t>user draw_order (NET-NEW stored preference), simulate inputs, depletionAge inputs</t>
  </si>
  <si>
    <t>PIN: after 'Re-run with my order' is saved, the main screen's preview, the safe draw derivation, and Plan all read the same stored order — one preference, no forks.</t>
  </si>
  <si>
    <t xml:space="preserve">   Reset to the math's order</t>
  </si>
  <si>
    <t>One tap back to the math's order, with the change previewed the same way.</t>
  </si>
  <si>
    <t>EXISTING default: withdrawalOrder's base order (cash → taxable → pre-tax → Roth).</t>
  </si>
  <si>
    <t>draw_order preference cleared</t>
  </si>
  <si>
    <t>PIN: reset makes the preview identical to a fresh install's suggestion.</t>
  </si>
  <si>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</si>
  <si>
    <t>▶ Your monthly income (Social Security · pension · annuity)  ·  lens: retired</t>
  </si>
  <si>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</si>
  <si>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</si>
  <si>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</si>
  <si>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</si>
  <si>
    <t>ACCESSIBILITY:
Number pads for amounts; every field labeled in full; the running total is announced on change. No time pressure, no required fields beyond one amount.</t>
  </si>
  <si>
    <t xml:space="preserve">   Social Security block (receiving now vs not yet)</t>
  </si>
  <si>
    <t>'I receive it: yes / not yet' then the monthly amount and arrival day. 'Not yet' routes to the claim-timing decision instead of asking for an amount.</t>
  </si>
  <si>
    <t>EXISTING fields: ri_ss + frequency + the currentRetirementIncomeMonthly received-now gate (src/domain/income/onboarding.ts); NET-NEW: this dedicated screen (today capture lives only inside legacy onboarding). Day feeds the F5 dated placement (ri_*_day).</t>
  </si>
  <si>
    <t>ri_ss, ri_ss_freq, ri_ss_day, receiving flag</t>
  </si>
  <si>
    <t>PIN: the amount saved here IS the 'Social Security $2,600' line on Home, Cash flow and Month detail — one field, no copies (the B-31 pin).</t>
  </si>
  <si>
    <t xml:space="preserve">   Pension block with real rhythm</t>
  </si>
  <si>
    <t>Monthly amount — or quarterly / once-a-year with the month it lands (a December pension lump shows up in December, not smeared).</t>
  </si>
  <si>
    <t>EXISTING fields ri_pension + freq; NET-NEW ri_pension_month for annual/quarterly placement (F5 requirement).</t>
  </si>
  <si>
    <t>ri_pension, ri_pension_freq, ri_pension_month</t>
  </si>
  <si>
    <t>PIN: placement here = the month the F5 grid shows the lump — one rhythm field drives both.</t>
  </si>
  <si>
    <t xml:space="preserve">   Running guaranteed total</t>
  </si>
  <si>
    <t>'Your guaranteed income: $4,200 a month' updates as she types — instant payoff before she even saves.</t>
  </si>
  <si>
    <t>Sum of the fields above via retirementIncomeMonthly (src/domain/income/onboarding.ts).</t>
  </si>
  <si>
    <t>sum of ri_*</t>
  </si>
  <si>
    <t>PIN: equals the hero's 'Guaranteed' line the moment she lands back on Home.</t>
  </si>
  <si>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</si>
  <si>
    <t>▶ Quick-add expense (the + sheet)  ·  lens: both</t>
  </si>
  <si>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</si>
  <si>
    <t>+------------------------------+
|            Add               |
|  [ Expense ]  (default)      |
|  [ A bill ] [ An account ]   |
|  [ Money in ]                |
|------------------------------|
| EXPENSE                      |
| Amount   [$ 64.20        ]   |
| For      [Groceries][Gas]    |
|          [Eating out][Home]  |
|          [Health][Fun][Other]|
| When     [Today          v]  |
| Note     [Trader Joe's  ](o) |
|  (o) = scan a receipt        |
|                              |
| [        Save             ]  |
|  (stays above the keyboard)  |
+------------------------------+</t>
  </si>
  <si>
    <t xml:space="preserve">   Amount + category chips</t>
  </si>
  <si>
    <t>Number pad first; one-tap category chips (the budget categories); date defaults to today; note optional; receipt scan shortcut.</t>
  </si>
  <si>
    <t>EXISTING: expenses[] + budget categories (budgetVsActual reads them); receipt OCR exists in the live app.</t>
  </si>
  <si>
    <t>expense {amount, category, date, note}</t>
  </si>
  <si>
    <t>PIN: saved expenses ARE the 'spent so far' number on Cash flow and Budget — one expenses store.</t>
  </si>
  <si>
    <t xml:space="preserve">   Something-else link</t>
  </si>
  <si>
    <t>The button opens the EXPENSE form directly. A small 'Add something else' link at the top leads to: a bill (Bill calendar), an account (manual add screen), money in (one-off income). The common case costs zero extra taps; the rare cases stay one link away.</t>
  </si>
  <si>
    <t>Navigation to designed screens.</t>
  </si>
  <si>
    <t>One quick-add sheet app-wide (the PROPOSED top-bar +).</t>
  </si>
  <si>
    <t>Save pinned above the keyboard; gate-checked.</t>
  </si>
  <si>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</si>
  <si>
    <t>▶ Plan hub  ·  lens: both</t>
  </si>
  <si>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</si>
  <si>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</si>
  <si>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</si>
  <si>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</si>
  <si>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</si>
  <si>
    <t xml:space="preserve">   Will-it-last headline (chance + word + range band)</t>
  </si>
  <si>
    <t>One percent chance with a plain word next to it (Likely 84%), a best-to-worst range (71-95%), and the word 'estimate'. Tapping opens the Will-it-last detail screen.</t>
  </si>
  <si>
    <t>EXISTING: simulate() in src/domain/retirement/index.ts:115 (seeded, deterministic; with_band=true returns the best-to-worst band). NET-NEW: F11 composer -- a single selectWillItLast selector that feeds simulate() from the one shared assumptions object.</t>
  </si>
  <si>
    <t>chance_of_success; band points (low / typical / high per age); inputs from retirementAssumptions (src/store/useStore.ts:233, defaults :427): retireAge, horizonAge, contribMonthly, spendMonthly, guaranteedMonthly, ssClaimAge, expectedReturn, inflation</t>
  </si>
  <si>
    <t>PIN: this exact percent = Home hero strip = Cash flow strip = Will-it-last detail headline = the 'current' column on every decision screen. One selector, one seeded run, pinned by a cross-screen agreement test.</t>
  </si>
  <si>
    <t xml:space="preserve">   Big-decisions list</t>
  </si>
  <si>
    <t>Four rows: Claim Social Security (with your filing window and an attention badge), Retirement transition + required withdrawals, Afford it all? (home / college / parents / debt), Move money into a Roth. Rows already decided show a 'your plan' chip, e.g. 'your plan: claim at 67'.</t>
  </si>
  <si>
    <t>Rows are fixed routes. 'Your plan' chips read retirementAssumptions (src/store/useStore.ts:233). Window badge is NET-NEW: F8 claim-window nudge computed from birth date. Required-withdrawal row gates on age vs the code constant RMD_START_AGE=73 in src/domain/decumulation/index.ts:82.</t>
  </si>
  <si>
    <t>ssClaimAge, retireAge, current age; badge date; per-row route</t>
  </si>
  <si>
    <t>PIN: the chip on a decision row shows the same value the decision screen's 'current plan' column shows -- both read the shared assumptions object, never a screen-local copy.</t>
  </si>
  <si>
    <t xml:space="preserve">   Saved scenarios list</t>
  </si>
  <si>
    <t>Bookmarked what-ifs by name with their saved chance percent and date (e.g. 'Retire at 66 -- 79%'). Tapping one reopens it in its scenario screen, still as a sandbox. Swipe to delete.</t>
  </si>
  <si>
    <t>EXISTING: retirementScenarios (src/store/useStore.ts:235), saveRetirementScenario (:630-635) which bookmarks WITHOUT changing the live plan, deleteRetirementScenario (:636). NET-NEW: scenarios also store the change-list (patch) so a reopened scenario can go straight to Use this plan.</t>
  </si>
  <si>
    <t>id, name, createdAt, assumptions snapshot, retireAge, chance</t>
  </si>
  <si>
    <t>PIN: a saved scenario's stored chance is labeled with its save date; when reopened it is re-run against today's numbers and both values are shown ('was 79% when saved, 78% today').</t>
  </si>
  <si>
    <t xml:space="preserve">   Back to previous plan row</t>
  </si>
  <si>
    <t>Appears only after an adoption: 'Back to previous plan (saved Jul 2)'. One tap opens a confirmation showing exactly what would switch back.</t>
  </si>
  <si>
    <t>NET-NEW: F11 composer -- planHistory snapshot stack (see engine spec); revert calls setRetirementAssumptions (src/store/useStore.ts:628) with the whole saved snapshot.</t>
  </si>
  <si>
    <t>planHistory: [{snapshot of all assumption fields, label, date}], newest first, keep last 5</t>
  </si>
  <si>
    <t>PIN: after revert, every screen (Home, Cash flow, Plan) shows the pre-adoption numbers exactly -- verified by the same agreement test that pins adoption.</t>
  </si>
  <si>
    <t xml:space="preserve">   Sharpen your plan meter</t>
  </si>
  <si>
    <t>'6 of 9' completeness with a link to the checklist screen -- each unfinished item says what adding it would firm up.</t>
  </si>
  <si>
    <t>EXISTING: planCompleteness() in src/domain/completeness/index.ts:15 (returns checks, doneCount, total, pct); checklist screen exists today as src/screens/SharpenPlanScreen.tsx.</t>
  </si>
  <si>
    <t>checks[] {label, detail, done, route}, doneCount, total</t>
  </si>
  <si>
    <t>PIN: same count as the SharpenPlanScreen header -- both call planCompleteness() on the same inputs.</t>
  </si>
  <si>
    <t xml:space="preserve">   Your monthly income row (retired lens)</t>
  </si>
  <si>
    <t>A hub row 'Your income — Social Security $2,600 · Pension $1,600 [edit]' linking to the Monthly-income screen, so guaranteed income is findable from Plan too (not just the Home prompt).</t>
  </si>
  <si>
    <t>retirementIncomeMonthly fields; navigation to the Cash flow Monthly-income screen.</t>
  </si>
  <si>
    <t>ri_*</t>
  </si>
  <si>
    <t>Same amounts as the hero lines — one source.</t>
  </si>
  <si>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</si>
  <si>
    <t>▶ Social Security claim timing  ·  lens: both</t>
  </si>
  <si>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</si>
  <si>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</si>
  <si>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</si>
  <si>
    <t>INTERACTIONS:
Slider drag re-runs totals and bars live (seeded runs are fast and deterministic). Edit statement amount inline. Remind me -&gt; notification permission flow. Any Use-as-my-plan -&gt; adoption sheet. Back -&gt; hub, sandbox discarded with no prompt (nothing was at risk).</t>
  </si>
  <si>
    <t>ACCESSIBILITY:
Bars are labeled with age + percent text, never color-only; the three options also read as a plain sentence list for screen readers ('Claiming at 62 pays 1,820 a month...'). Slider has plus/minus stepper buttons as an alternative to dragging. All copy states 'estimate'.</t>
  </si>
  <si>
    <t xml:space="preserve">   Statement amount input</t>
  </si>
  <si>
    <t>The monthly benefit from the user's own Social Security statement at their full claiming age (67). Everything else on the screen is computed from this one number they typed.</t>
  </si>
  <si>
    <t>Field EXISTS in the store: ssMonthly on retirementAssumptions (src/store/useStore.ts:427); written via setRetirementAssumptions (:628) only through the adoption sheet -- editing here updates the sandbox.</t>
  </si>
  <si>
    <t>ssMonthly (dollars per month, today's dollars), ssEligible</t>
  </si>
  <si>
    <t>PIN: the monthly figure for the ADOPTED claim age = guaranteedMonthly fed to simulate() = the deposit line Cash flow shows for post-claim months. One number, three homes, one source.</t>
  </si>
  <si>
    <t xml:space="preserve">   Three-way compare table (monthly + lifetime)</t>
  </si>
  <si>
    <t>For 62 / 67 / 70: the monthly check and the total collected by the live-to age on the slider, all in today's dollars. Plain note under the table: 'earlier = smaller checks for longer; later = bigger checks for fewer years'.</t>
  </si>
  <si>
    <t>NET-NEW: F8 helper ssBenefitAtClaimAge(statementMonthly, claimAge) applying the government's standard early-claim reduction and delayed-claim credit percentages; lifetime total = monthly x months from claim age to the slider age (today's dollars, no market math).</t>
  </si>
  <si>
    <t>per option: claimAge, monthly, lifetimeToSliderAge</t>
  </si>
  <si>
    <t>PIN: the '67' row always equals the statement amount exactly (the factor at full claiming age is 1.0) -- a unit test pins this so the table can never drift from the user's own input.</t>
  </si>
  <si>
    <t xml:space="preserve">   Effect on will-it-last (three labeled bars)</t>
  </si>
  <si>
    <t>The hub's chance number re-run three times, once per claim age (62: 79%, 67: 84%, 70: 88%), each bar labeled with age + percent, marked 'estimates'.</t>
  </si>
  <si>
    <t>EXISTING: simulate() in src/domain/retirement/index.ts:115 already takes guaranteed_start_age (the claim age) and guaranteed_monthly_income as inputs -- no engine change needed, three seeded runs with the sandbox values.</t>
  </si>
  <si>
    <t>guaranteed_start_age = 62/67/70; guaranteed_monthly_income = benefit at that age; all other inputs from the shared assumptions</t>
  </si>
  <si>
    <t>PIN: the bar for the CURRENTLY adopted claim age must equal the hub's headline percent to the digit -- same seed, same inputs, agreement test.</t>
  </si>
  <si>
    <t xml:space="preserve">   If-you-live-to slider</t>
  </si>
  <si>
    <t>A slider the USER moves (default: the plan-to age already in their plan). It re-computes the lifetime totals and the three bars. Caption: 'Your assumption, not our prediction.'</t>
  </si>
  <si>
    <t>local state while trying it out (same pattern as today's RetirementCockpit sandbox sliders, RetirementCockpit.tsx ~:193-198); feeds horizon_age into simulate() and the lifetime-total months. Nothing is stored until adoption.</t>
  </si>
  <si>
    <t>liveToAge (trying it out); horizonAge (shared, only on adoption)</t>
  </si>
  <si>
    <t>PIN: slider default = retirementAssumptions.horizonAge so the screen opens showing the same world the hub number lives in.</t>
  </si>
  <si>
    <t xml:space="preserve">   Window + Remind me</t>
  </si>
  <si>
    <t>'You can claim any time from Sep 2026 (age 62) to 70 — no deadline' (the month they turn 62) and a Remind-me button that schedules a notification. Logistics only -- no opinion attached.</t>
  </si>
  <si>
    <t>NET-NEW: F8 claim-window nudge -- window dates derived from birth date; reminder uses the app's existing notification scaffolding.</t>
  </si>
  <si>
    <t>birth date -&gt; windowOpens (age-62 month), full-age month, age-70 month</t>
  </si>
  <si>
    <t>PIN: the same window date drives the badge on the Plan hub decision row.</t>
  </si>
  <si>
    <t xml:space="preserve">   Use-as-my-plan buttons (one per option)</t>
  </si>
  <si>
    <t>Each column has 'Use claim at 62/67/70 as my plan'. Tapping opens the shared adoption sheet with the exact old-to-new list for that option.</t>
  </si>
  <si>
    <t>NET-NEW: F11 composer -- the button builds the change-list patch {ssClaimAge, ssMonthly at that age -&gt; guaranteedMonthly, horizonAge if the slider moved}; the sheet does the write via setRetirementAssumptions (src/store/useStore.ts:628).</t>
  </si>
  <si>
    <t>patch: ssClaimAge, guaranteedMonthly, horizonAge</t>
  </si>
  <si>
    <t>PIN: the numbers on the button's preview sheet are the same objects rendered in this screen's table -- one computation, passed through, never recomputed differently.</t>
  </si>
  <si>
    <t xml:space="preserve">   Statement-amount finder line</t>
  </si>
  <si>
    <t>Under the input: 'It's on your Social Security statement — ssa.gov/myaccount or the mailed copy. No rush; the example numbers stay until you have it.'</t>
  </si>
  <si>
    <t>copy only</t>
  </si>
  <si>
    <t xml:space="preserve">   Where these numbers come from (i) (c32)</t>
  </si>
  <si>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</si>
  <si>
    <t>ssBenefitAtClaimAge factors = the SSA standard reduction/credit schedule; the 67 row equals the statement amount exactly (unit-tested).</t>
  </si>
  <si>
    <t>Same factors the compare table and the adoption patch use.</t>
  </si>
  <si>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</si>
  <si>
    <t>▶ Multi-goal trade-off composer  ·  lens: both</t>
  </si>
  <si>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</si>
  <si>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</si>
  <si>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</si>
  <si>
    <t>INTERACTIONS:
Toggle flips recompute both verdicts immediately; slider drags debounce to one recompute on release. 'Where the money goes' expands inline. Trim hints are tappable -- tapping one applies that amount to the slider (still sandbox). Save prompts for a name.</t>
  </si>
  <si>
    <t>ACCESSIBILITY:
Every toggle announces its goal and amount; verdict line is plain text, not color-coded alone (word 'Short'/'Covered' always present). Sliders have stepper buttons and accept typed amounts. Recomputes announce politely via the screen reader ('updated: short 400 a month').</t>
  </si>
  <si>
    <t xml:space="preserve">   Goal toggle rows with per-goal sliders</t>
  </si>
  <si>
    <t>Each goal (help parents, college fund, home down-payment, extra on debt, keep saving for retirement) with an on/off switch and a monthly-amount slider. Goals with a target show their finish date at the chosen pace.</t>
  </si>
  <si>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</si>
  <si>
    <t>per goal: id, label, monthlyAmount (slider), target amount, saved so far, computed end date; retirement row maps to contribMonthly</t>
  </si>
  <si>
    <t>PIN: a goal's single-goal finish date here = the finish date the goal shows anywhere else at the same monthly amount -- both call monthsToGoal().</t>
  </si>
  <si>
    <t xml:space="preserve">   Extra-on-debt row</t>
  </si>
  <si>
    <t>A special goal row: the extra monthly payment, the resulting payoff month, and the interest saved ('paid off May 2031, saves $4,100 in interest').</t>
  </si>
  <si>
    <t>EXISTING: payoffPlan() in src/domain/debt/index.ts:96 (takes the debt list + extra monthly, returns the payoff schedule); debts from the store's liabilities.</t>
  </si>
  <si>
    <t>extraMonthly (slider), payoff month, total interest with vs without the extra</t>
  </si>
  <si>
    <t>PIN: payoff month here = payoff month on the Money/Debts screen for the same extra amount -- one payoffPlan() call path.</t>
  </si>
  <si>
    <t xml:space="preserve">   Can-you-do-it-all verdict</t>
  </si>
  <si>
    <t>One line: 'Covered, with $250/mo to spare' or 'Short $400/mo this year', plus a tap-through 'where the money goes' stacked list (income in, essentials, each goal, what's left).</t>
  </si>
  <si>
    <t>EXISTING capacity: availableToSaveSummary() in src/domain/goals/index.ts:70 -- the same available-to-save number the Cash flow tab uses. NET-NEW: F4 weigher does the subtraction across all toggled goals and builds the stacked list.</t>
  </si>
  <si>
    <t>capacity (monthly), committed = sum of toggled monthly amounts, surplus/shortfall = capacity - committed</t>
  </si>
  <si>
    <t>PIN: 'capacity' = Cash flow tab's available-to-save to the dollar -- same helper, pinned by an agreement test. A shortfall here can never coexist with a surplus on Cash flow.</t>
  </si>
  <si>
    <t xml:space="preserve">   Effect-on-retirement panel</t>
  </si>
  <si>
    <t>Two before-and-after lines: retire age (67 -&gt; 69) and will-it-last (84% -&gt; 76%), labeled 'estimate, not a promise'. 'Before' is the adopted plan; 'after' is this combination.</t>
  </si>
  <si>
    <t>EXISTING: solveRetireAge() (src/domain/retirement/index.ts:225) and simulate() (:115), fed with the retirement row's dial as the contribution. NET-NEW: F4 weigher builds the year-by-year contribution picture (goals that end give their money back to saving when they finish).</t>
  </si>
  <si>
    <t>annual_contribution = retirement dial x 12 (goal end dates noted), everything else from shared assumptions</t>
  </si>
  <si>
    <t>PIN: the 'before' side (67, 84%) = the hub's current numbers exactly -- read from the same selector, not retyped.</t>
  </si>
  <si>
    <t xml:space="preserve">   What-if-you-trim-one hints</t>
  </si>
  <si>
    <t>For each active goal, one descriptive line: 'Parents at $1,500 instead: retire 68, chance 81%.' Wording is always what-happens-if, never you-should.</t>
  </si>
  <si>
    <t>NET-NEW: F4 weigher re-runs the same math with one dial at a reduced amount per hint; deterministic because simulate() is seeded.</t>
  </si>
  <si>
    <t>per hint: goal, trimmed amount, resulting retire age + chance</t>
  </si>
  <si>
    <t>PIN: applying a hint's amount to the slider reproduces the hint's numbers exactly -- the hint IS a pre-run of the slider, not separate math.</t>
  </si>
  <si>
    <t xml:space="preserve">   Save scenario / Use this plan buttons</t>
  </si>
  <si>
    <t>Save scenario bookmarks the combination under a name without touching the plan. Use this plan opens the adoption sheet listing every number that would change.</t>
  </si>
  <si>
    <t>EXISTING: saveRetirementScenario (src/store/useStore.ts:630-635). NET-NEW: F11 adoption patch = {contribMonthly = retirement dial, commitments = the toggled goal rows}; commitments is a new field on the shared assumptions object.</t>
  </si>
  <si>
    <t>patch: contribMonthly, commitments[] {goalId, label, monthlyAmount, endDate}</t>
  </si>
  <si>
    <t>PIN: after adoption, each commitment appears as a planned monthly line in the Cash flow paycheck view with the same label and amount.</t>
  </si>
  <si>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</si>
  <si>
    <t>▶ Roth conversion (simple scenario)  ·  lens: both</t>
  </si>
  <si>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</si>
  <si>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</si>
  <si>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</si>
  <si>
    <t>INTERACTIONS:
Slider drag recomputes the four result lines on release. Tap the tax line to see and change the rate assumption. Save prompts for a name. Use this plan -&gt; adoption sheet.</t>
  </si>
  <si>
    <t>ACCESSIBILITY:
All four results are plain sentences (screen-reader friendly by construction). Slider has steppers and typed entry. 'Estimate' is text, not a color or icon alone. The what-this-trade-is paragraph targets a grade-6 reading level.</t>
  </si>
  <si>
    <t xml:space="preserve">   Convert-this-year slider</t>
  </si>
  <si>
    <t>Amount to convert, capped at the user's real pre-tax balance shown right below it ('from your pre-tax $310,000').</t>
  </si>
  <si>
    <t>EXISTING: taxBucketSplit() in src/domain/decumulation/index.ts:10 gives the real pre-tax / tax-free / taxable buckets from accounts. Today's src/screens/RothScreen.tsx uses typed-in local numbers (useState :20-22, zero store writes) -- v1 replaces those with real balances.</t>
  </si>
  <si>
    <t>conversionAmount (sandbox slider); preTax and roth from taxBucketSplit(accounts)</t>
  </si>
  <si>
    <t>PIN: the pre-tax balance shown = the pre-tax bucket on Net worth's by-type view -- same taxBucketSplit() call, agreement test.</t>
  </si>
  <si>
    <t xml:space="preserve">   Tax-bill-now line</t>
  </si>
  <si>
    <t>'Tax bill next April: about $5,500 more', with a tap-through showing the tax-rate estimate used and a 'change it' control. Always labeled 'estimate -- your tax preparer has the exact number.'</t>
  </si>
  <si>
    <t>EXISTING: rothConversion() in src/domain/planning/index.ts:91 (note: it lives in the planning module, not the retirement module). NET-NEW: surfacing its rate assumption as a user-editable input.</t>
  </si>
  <si>
    <t>conversionAmount x estimated tax rate; rate source shown (estimated from your income / you set it)</t>
  </si>
  <si>
    <t>PIN: the income figure behind the rate estimate = the same income the Cash flow tab uses -- no second income number.</t>
  </si>
  <si>
    <t xml:space="preserve">   Later effects pair</t>
  </si>
  <si>
    <t>Two lines: 'Required withdrawals at 73: about $980 a year smaller' and 'Tax-free bucket: $118,000 -&gt; $143,000'. Plain footnote: at 73 the government requires yearly withdrawals from pre-tax accounts; converting shrinks that requirement.</t>
  </si>
  <si>
    <t>EXISTING: rmdAtAge() (src/domain/decumulation/index.ts:100) and the RMD_START_AGE=73 constant (:82) -- run on pre-tax balance with and without the conversion, projected to age 73; buckets from taxBucketSplit().</t>
  </si>
  <si>
    <t>rmdAtAge(preTax projected, 73) before vs after; roth bucket before/after</t>
  </si>
  <si>
    <t>PIN: the age-73 required-withdrawal figure here matches the Retirement-transition screen's year-73 row for the same balances -- one rmdAtAge() path.</t>
  </si>
  <si>
    <t xml:space="preserve">   Effect on will-it-last</t>
  </si>
  <si>
    <t>Before-and-after chance ('84% -&gt; 84%, little change'). Honest when the move barely moves the odds -- the point of the decision is taxes, and the copy says so.</t>
  </si>
  <si>
    <t>EXISTING: simulate() (src/domain/retirement/index.ts:115); the conversion nudges the inputs (tax cash paid now reduces the starting balance; later tax savings raise net spending power). NET-NEW: F11 composer maps the conversion into simulate() inputs.</t>
  </si>
  <si>
    <t>start_balance minus the tax paid; delta labeled estimate</t>
  </si>
  <si>
    <t>PIN: the 'before' percent = the hub headline, same selector.</t>
  </si>
  <si>
    <t xml:space="preserve">   Save scenario / Use this plan</t>
  </si>
  <si>
    <t>Save bookmarks it; Use this plan opens the adoption sheet: conversion amount, this year's extra tax, and the reminder task it creates ('do the conversion with your brokerage before Dec 31').</t>
  </si>
  <si>
    <t>EXISTING: saveRetirementScenario (src/store/useStore.ts:630-635). NET-NEW: F11 patch = {rothConversionThisYear amount} on the shared assumptions object + a dated action item; the app never moves money -- it records the intention and the numbers.</t>
  </si>
  <si>
    <t>patch: rothConversionThisYear; action item with Dec 31 deadline</t>
  </si>
  <si>
    <t>PIN: after adoption, Cash flow's April shows the extra tax as a planned expense with the same dollar figure the sheet previewed.</t>
  </si>
  <si>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</si>
  <si>
    <t>▶ Retirement transition + required withdrawals  ·  lens: both</t>
  </si>
  <si>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</si>
  <si>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</si>
  <si>
    <t>BUILD NOTE:
Engine EXISTS (rmdAtAge, divisors, ledger, completeness); the screen, taken-so-far tagging, and year projection wiring are NET-NEW. This screen satisfies the Plan hub's 'Retirement transition + required withdrawals' row — previously referenced but undesigned (verification blocker #1).</t>
  </si>
  <si>
    <t>INTERACTIONS:
Mark as taken -&gt; amount + account sheet -&gt; writes the ledger entry and updates 'still to take'. Tap a schedule year -&gt; its assumptions ('based on your balance of $X and the age-75 divisor'). Checklist rows navigate to their screens. Remind me -&gt; notification permission flow.</t>
  </si>
  <si>
    <t>ACCESSIBILITY:
The requirement is read as one sentence ('Required withdrawal for 2026: 15,660 dollars; 8,000 taken; 7,660 still to take by December 31'). 'done'/'left'/'upcoming' are words, never color alone. All rows 44+ points.</t>
  </si>
  <si>
    <t xml:space="preserve">   This-year required amount + taken-so-far + deadline</t>
  </si>
  <si>
    <t>'Required $15,660 · Taken so far $8,000 · Still to take $7,660 by Dec 31' — the mandated amount for the current year against what has already been withdrawn.</t>
  </si>
  <si>
    <t>EXISTING: rmdAtAge(preTaxBalance, age) + RMD_START_AGE=73 — src/domain/decumulation/index.ts:100/:82. Taken-so-far: NET-NEW — sum of this year's withdrawals recorded against pre-tax accounts in the transaction ledger (src/domain/transactions/index.ts) plus manual 'Mark as taken' entries.</t>
  </si>
  <si>
    <t>pre-tax balance (taxBucketSplit), age, ledger WITHDRAWAL rows on pre-tax accounts this year, marked-taken records</t>
  </si>
  <si>
    <t>PIN: the required amount = the pinned first step on the Cash flow draw-order sheet = the year-73 row the Roth screen compares against — one rmdAtAge() path, agreement-tested.</t>
  </si>
  <si>
    <t xml:space="preserve">   Mark as taken</t>
  </si>
  <si>
    <t>One tap records that the withdrawal (or part of it) was taken outside the app; asks the amount and which account it left. Writes a real ledger entry so history and balances stay honest.</t>
  </si>
  <si>
    <t>EXISTING engine: recordTransaction (src/store/useStore.ts) with type WITHDRAWAL — the same one ledger every screen reads; NET-NEW: the entry point and the 'counts toward this year's requirement' tag.</t>
  </si>
  <si>
    <t>Transaction {type: WITHDRAWAL, account_id, amount, date, note:'required withdrawal'}</t>
  </si>
  <si>
    <t>PIN: marking here reduces 'still to take' AND shows in the account's activity history — one ledger, no side lists.</t>
  </si>
  <si>
    <t xml:space="preserve">   Year-by-year schedule (estimates)</t>
  </si>
  <si>
    <t>One row per year from 73: the mandated amount — past years show taken/(done), future years show '~' amounts labeled estimates because they move with balances and the divisor table.</t>
  </si>
  <si>
    <t>EXISTING: rmdAtAge() per projected year using the Uniform Lifetime divisors (src/domain/decumulation/index.ts:100); projection of the pre-tax balance via projectNestEgg (src/domain/retirement/index.ts:198) with the shared plan assumptions.</t>
  </si>
  <si>
    <t>per year: age, projected pre-tax balance, divisor, mandated amount, status</t>
  </si>
  <si>
    <t>PIN: the schedule's assumptions are the ONE shared plan-assumptions object — adopting a scenario (e.g., a Roth conversion) visibly changes these future rows (F11 propagation).</t>
  </si>
  <si>
    <t xml:space="preserve">   Remind me</t>
  </si>
  <si>
    <t>'Remind me in November' schedules a notification ahead of the Dec 31 deadline. Pure logistics; no advice about timing beyond the legal deadline.</t>
  </si>
  <si>
    <t>NET-NEW: reuses the app's notification scaffolding (same pattern as the Social Security claim-window reminder).</t>
  </si>
  <si>
    <t>reminder date, year</t>
  </si>
  <si>
    <t>Same reminder component as the claim-window nudge — one wording pattern.</t>
  </si>
  <si>
    <t xml:space="preserve">   Getting-ready checklist (before 73)</t>
  </si>
  <si>
    <t>Four factual readiness items — Social Security decided, paycheck set up, draw order reviewed, health coverage checked — each linking to its screen (health coverage opens a short plain-English note — no dedicated screen in v1). Progress, not pressure.</t>
  </si>
  <si>
    <t>EXISTING pattern: planCompleteness() checks (src/domain/completeness/index.ts:15) extended with transition items; rows link to existing screens (SS decision, Cash flow paycheck, draw-order sheet).</t>
  </si>
  <si>
    <t>checks[] {label, done, route}</t>
  </si>
  <si>
    <t>PIN: item states derive from the same stores the target screens read (e.g., 'Social Security decided' = ssClaimAge set on the shared assumptions) — never a manually-ticked shadow copy.</t>
  </si>
  <si>
    <t xml:space="preserve">   Which accounts this applies to</t>
  </si>
  <si>
    <t>'Based on your Fidelity IRA ($415,000) — marked Retirement when you added it [edit]' — the user can SEE which of their accounts the law applies to and fix a wrong tax chip from here.</t>
  </si>
  <si>
    <t>EXISTING: taxBucketSplit pre-tax members (src/domain/decumulation/index.ts:10); edit link opens the account editor.</t>
  </si>
  <si>
    <t>pre-tax accounts list</t>
  </si>
  <si>
    <t>PIN: the listed accounts are exactly the pre-tax bucket the required amount is computed from — a visible input, not a hidden one.</t>
  </si>
  <si>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</si>
  <si>
    <t>▶ Use this plan (adoption sheet -- shared component)  ·  lens: both</t>
  </si>
  <si>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</si>
  <si>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</si>
  <si>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</si>
  <si>
    <t>INTERACTIONS:
Confirm -&gt; write + toast + dismiss. Keep-my-current-plan -&gt; dismiss, sandbox intact so the user can keep tweaking. Sheet is dismissible by swipe-down (counts as Keep current). Revert reachable from hub and from the post-adoption toast for the session.</t>
  </si>
  <si>
    <t>ACCESSIBILITY:
Arrows in the diff are supplemented with 'changes from ... to ...' for screen readers. Buttons named by outcome ('Make this my plan'), never bare 'OK/Cancel'. Focus lands on the change-list heading when the sheet opens. Minimum 44-point targets.</t>
  </si>
  <si>
    <t xml:space="preserve">   Old-to-new change list</t>
  </si>
  <si>
    <t>Every field that will change, in plain words, old value -&gt; new value -- including the resulting will-it-last shift. Nothing not listed changes.</t>
  </si>
  <si>
    <t>NET-NEW: F11 composer -- scenarioDiff(currentAssumptions, patch) builds rows {plain label, old, new, unit}. 'Old' reads retirementAssumptions verbatim (src/store/useStore.ts:233); 'new' is the exact patch that will be written -- the preview and the write share ONE payload, so they cannot disagree.</t>
  </si>
  <si>
    <t>diff rows; the patch object itself</t>
  </si>
  <si>
    <t>PIN (the load-bearing one): preview values = written values, by construction -- the confirm handler passes the same patch object it rendered to setRetirementAssumptions (src/store/useStore.ts:628). A contract test asserts render-payload equals write-payload.</t>
  </si>
  <si>
    <t xml:space="preserve">   Where-you'll-see-it list</t>
  </si>
  <si>
    <t>Per adoption, the modules that will look different and how, in one line each (Home top number, Cash flow future months, Plan hub, and Net worth's projection when relevant). Sets expectations before the tap.</t>
  </si>
  <si>
    <t>NET-NEW: F11 propagation map (see engine spec) -- a static table from assumption field to affected surfaces; the sheet filters it to the fields in this patch.</t>
  </si>
  <si>
    <t>field -&gt; [surface, what changes] rows</t>
  </si>
  <si>
    <t>PIN: this list is generated from the same propagation table the engineering wiring implements -- if a surface reads the field, it is on the list; the map is the contract, not marketing copy.</t>
  </si>
  <si>
    <t xml:space="preserve">   Undo promise + Make-this-my-plan / Keep-my-current-plan buttons</t>
  </si>
  <si>
    <t>A sentence stating exactly where undo lives, then two equal-weight buttons -- confirm is not visually louder than cancel (no dark-pattern nudging; you decide).</t>
  </si>
  <si>
    <t>NET-NEW: F11 adoptPlan(patch, label): (1) push a full snapshot of current assumptions onto planHistory with label + date, (2) setRetirementAssumptions(patch) (src/store/useStore.ts:628), (3) every subscribed screen re-derives. Revert = setRetirementAssumptions(whole snapshot).</t>
  </si>
  <si>
    <t>planHistory entry {snapshot, label, date}; patch</t>
  </si>
  <si>
    <t>PIN: revert restores every field of the snapshot, then the same agreement test that verified adoption verifies the restore -- round-trip adopt-then-revert leaves every screen byte-identical.</t>
  </si>
  <si>
    <t xml:space="preserve">   Post-adoption confirmation</t>
  </si>
  <si>
    <t>After confirm: brief toast 'This is your plan now', the source screen flips to its adopted state, and the hub gains 'Back to previous plan (saved Jul 2)'.</t>
  </si>
  <si>
    <t>NET-NEW: F11 -- confirmation reads the just-written store values (not the sheet's memory) as a live proof the write landed.</t>
  </si>
  <si>
    <t>toast text from store re-read; hub revert row from planHistory[0]</t>
  </si>
  <si>
    <t>PIN: the confirmation shows the new will-it-last percent pulled through the same selector the hub uses -- if they differ, the write failed and we say so instead of pretending.</t>
  </si>
  <si>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</si>
  <si>
    <t>▶ Will-it-last detail  ·  lens: both</t>
  </si>
  <si>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</si>
  <si>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</si>
  <si>
    <t>BUILD NOTE:
Engine fully EXISTS (simulate with band, completeness, fallback derivations). NET-NEW: this screen, the sensitivity sweep, source tagging (null-field check is trivial), and routing edits through the one-row preview instead of the silent write the cockpit does today.</t>
  </si>
  <si>
    <t>INTERACTIONS:
Tap a driver -&gt; its scenario screen pre-set to that nudge (trying it out). Tap an assumption's edit -&gt; inline editor with a one-row old-to-new preview before writing. Chart supports a horizontal age scrub with values read out as text.</t>
  </si>
  <si>
    <t>ACCESSIBILITY:
Chart lines are labeled bad/typical/good in words on the plot, never color-only; a text table alternative sits behind 'view as numbers'. Source tags are text. Drivers are an ordered list for screen readers. Meaning sentence targets grade-6 reading level.</t>
  </si>
  <si>
    <t xml:space="preserve">   Chance headline + plain meaning</t>
  </si>
  <si>
    <t>'Likely -- 84%' plus one sentence: 'In 84 of 100 possible market futures, your money lasts to age 92.' Never 'you will be fine.'</t>
  </si>
  <si>
    <t>EXISTING: simulate() (src/domain/retirement/index.ts:115) -- it runs many possible market futures with a fixed seed, so the number is stable between visits.</t>
  </si>
  <si>
    <t>chance_of_success; horizonAge for the sentence</t>
  </si>
  <si>
    <t>PIN: identical to the hub, Home hero, and Cash flow strip -- one selector, agreement-tested. This screen explains the number; it never re-derives a different one.</t>
  </si>
  <si>
    <t xml:space="preserve">   Balance band chart (low / typical / high)</t>
  </si>
  <si>
    <t>Projected balance by age as three labeled lines: a bad-markets path, the typical path, and a good-markets path, with the bad-to-good chance range (71%-95%) written as text under it.</t>
  </si>
  <si>
    <t>EXISTING: simulate() with with_band=true returns per-age band points (the BandPoint list: age with low/typical/high balances) -- already built for this.</t>
  </si>
  <si>
    <t>BandPoint[] {age, p10 as 'bad markets', p50 as 'typical', p90 as 'good markets'}</t>
  </si>
  <si>
    <t>PIN: the band's endpoint at the plan-to age is consistent with the chance headline (both from the SAME simulation run, not two runs).</t>
  </si>
  <si>
    <t xml:space="preserve">   What-moves-it-most list</t>
  </si>
  <si>
    <t>Top three levers ranked by effect, each with a descriptive one-liner: 'Spending $500 less -&gt; 89%.' Wording is what-happens-if; the user picks what to touch.</t>
  </si>
  <si>
    <t>NET-NEW: F11 sensitivity sweep -- re-run simulate() a handful of times, each with one assumption nudged a standard step, rank by chance delta. Deterministic (seeded), so the ranking is stable.</t>
  </si>
  <si>
    <t>per lever: assumption, nudge size, resulting chance</t>
  </si>
  <si>
    <t>PIN: tapping a lever opens the matching scenario screen pre-set to that nudge, which reproduces the same resulting percent -- the teaser and the tool share one engine.</t>
  </si>
  <si>
    <t xml:space="preserve">   Assumptions table with sources + edit links</t>
  </si>
  <si>
    <t>Every input behind the number -- spending, retire age, plan-to age, return, inflation, Social Security amount and claim age, monthly saving -- each tagged 'you set it' or 'estimated from your data', each with an edit link.</t>
  </si>
  <si>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</si>
  <si>
    <t>field, value, source tag (user-set = field non-null; estimated = fallback used), edit route</t>
  </si>
  <si>
    <t>PIN: values here = values the simulation actually consumed this run (rendered from the resolved input set, not re-read separately), so the explanation can never drift from the math.</t>
  </si>
  <si>
    <t xml:space="preserve">   Sharpen-your-plan meter</t>
  </si>
  <si>
    <t>'6 of 9' with the next best item named ('Add your pension to firm this up').</t>
  </si>
  <si>
    <t>EXISTING: planCompleteness() (src/domain/completeness/index.ts:15) + SharpenPlanScreen.tsx.</t>
  </si>
  <si>
    <t>doneCount, total, first undone check</t>
  </si>
  <si>
    <t>PIN: same count as the hub and SharpenPlanScreen -- one helper.</t>
  </si>
  <si>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</si>
  <si>
    <t>Engine</t>
  </si>
  <si>
    <t>Owned by tab</t>
  </si>
  <si>
    <t>Specification (plain English)</t>
  </si>
  <si>
    <t>F5 safe-to-spend paycheck engine</t>
  </si>
  <si>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</si>
  <si>
    <t>✅ Built + projection mode (the working-lens future-paycheck card)</t>
  </si>
  <si>
    <t>F2 dated rolling 12-month canonical grid</t>
  </si>
  <si>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</si>
  <si>
    <t>✅ Built — every by-month surface reads its cells</t>
  </si>
  <si>
    <t>F11 scenario composer + adoption contract</t>
  </si>
  <si>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</si>
  <si>
    <t>✅ Core built — adoptPlan/revertPlan/planHistory + the shared sheet</t>
  </si>
  <si>
    <t>F4 multi-goal weigher</t>
  </si>
  <si>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</si>
  <si>
    <t>✅ Built — weighGoals + trim hints as pre-runs (pinned identical)</t>
  </si>
  <si>
    <t>F1 secure sync seam</t>
  </si>
  <si>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</si>
  <si>
    <t>⬜ Not built — sequenced last; Transaction.source + merge rule ready</t>
  </si>
  <si>
    <t>Activity ledger for every asset class</t>
  </si>
  <si>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</si>
  <si>
    <t>✅ Built — per-class recording through the one engine on Account detail</t>
  </si>
  <si>
    <t>Import v2 — institution, honest classification, no duplicates</t>
  </si>
  <si>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</si>
  <si>
    <t>✅ Built — institution + provenance + merge-not-duplicate</t>
  </si>
  <si>
    <t>F10 single-transaction scam flag (thin v1)</t>
  </si>
  <si>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</si>
  <si>
    <t>✅ Built — 3 fixed rules; manual rows never flagged</t>
  </si>
  <si>
    <t>F1 connection freshness (stale banner's source)</t>
  </si>
  <si>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</si>
  <si>
    <t>🔨 Partial — value_as_of freshness live; connection records wait on F1</t>
  </si>
  <si>
    <t>Bond rate-sensitivity estimate</t>
  </si>
  <si>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</si>
  <si>
    <t>✅ Built — surfaced on the bond detail card</t>
  </si>
  <si>
    <t>Look-back counterfactual (backward what-if)</t>
  </si>
  <si>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</si>
  <si>
    <t>✅ Built — real prices only, never extrapolated</t>
  </si>
  <si>
    <t>Manual-value freshness nudge (bonds &amp; alternatives)</t>
  </si>
  <si>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</si>
  <si>
    <t>✅ Built — the 6-month 'still right?' nudge</t>
  </si>
  <si>
    <t>Holding-level concentration callout</t>
  </si>
  <si>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</si>
  <si>
    <t>⬜ Not built — the account-level concentration insight ships meanwhile</t>
  </si>
  <si>
    <t>Screen element</t>
  </si>
  <si>
    <t>Engine / helper (one source of truth)</t>
  </si>
  <si>
    <t>Fields it reads</t>
  </si>
  <si>
    <t>Sameness pin (must match)</t>
  </si>
  <si>
    <t>Home · Greeting name</t>
  </si>
  <si>
    <t>name fallback chain in src/screens/HomeScreen.tsx (store.user.name → onboarding name); first_name in src/domain/profile/onboarding.ts</t>
  </si>
  <si>
    <t>user.name, onboarding first_name</t>
  </si>
  <si>
    <t>matches Settings profile</t>
  </si>
  <si>
    <t>Home · Hide-balances mask</t>
  </si>
  <si>
    <t>useMoney()/BALANCE_MASK — src/components/useMoney.ts; hideBalances/toggleHideBalances — src/store/useStore.ts</t>
  </si>
  <si>
    <t>one global flag; zero raw '$' render when on (UI test)</t>
  </si>
  <si>
    <t>Home · Net worth line</t>
  </si>
  <si>
    <t>resolveNetWorthRows — src/domain/snapshot.ts → totalAssets − debts → buildNetWorth — src/domain/networth/index.ts</t>
  </si>
  <si>
    <t>live accounts + liabilities (or onboarding fallback)</t>
  </si>
  <si>
    <t>Home · Working hero total</t>
  </si>
  <si>
    <t>investmentsTotal — src/domain/assets/index.ts</t>
  </si>
  <si>
    <t>investment-class account values incl. positions</t>
  </si>
  <si>
    <t>Home · Working hero month change</t>
  </si>
  <si>
    <t>portfolioTrend / portfolioPeriodReturn — src/domain/performance/index.ts</t>
  </si>
  <si>
    <t>positions, lots, price series</t>
  </si>
  <si>
    <t>Home · Compared-to-market line</t>
  </si>
  <si>
    <t>periodReturn + BENCHMARK_TICKER — src/domain/performance/index.ts</t>
  </si>
  <si>
    <t>benchmark price series, portfolio period return</t>
  </si>
  <si>
    <t>Home · Prices as-of stamp</t>
  </si>
  <si>
    <t>priceFreshness — src/services/marketData.ts</t>
  </si>
  <si>
    <t>price fetch timestamps</t>
  </si>
  <si>
    <t>same wording as Performance freshness line</t>
  </si>
  <si>
    <t>Home · What needs you (list)</t>
  </si>
  <si>
    <t>buildInsights(input, 3) — src/domain/insights/index.ts (+ NET-NEW rules: required-withdrawal, claim-window, F10 injection)</t>
  </si>
  <si>
    <t>InsightInput (10 inputs) + open flags</t>
  </si>
  <si>
    <t>identical items/order/dollars to Insights screen top 3</t>
  </si>
  <si>
    <t>Home · Idle-cash dollars</t>
  </si>
  <si>
    <t>cashTotal — src/domain/assets/index.ts (feeds cash-drag rule)</t>
  </si>
  <si>
    <t>cash-class balances</t>
  </si>
  <si>
    <t>Home · 401(k) room dollars</t>
  </si>
  <si>
    <t>k401Headroom — src/domain/income/limits.ts</t>
  </si>
  <si>
    <t>age, year-to-date contributions, IRS_LIMITS</t>
  </si>
  <si>
    <t>Home · Required-withdrawal dollars</t>
  </si>
  <si>
    <t>rmdAtAge + RMD_START_AGE — src/domain/decumulation/index.ts (rule itself NET-NEW)</t>
  </si>
  <si>
    <t>pre-tax balance (taxBucketSplit), age</t>
  </si>
  <si>
    <t>Home · Will-it-last chance</t>
  </si>
  <si>
    <t>stored RetirementState.chance_of_success from simulate()/buildRetirementState — src/domain/retirement/index.ts (read, never recomputed)</t>
  </si>
  <si>
    <t>byte-identical to Plan tab and insights retireChance (Principle 6)</t>
  </si>
  <si>
    <t>Home · Retired hero this-month / this-year</t>
  </si>
  <si>
    <t>NET-NEW: F5 buildPaycheckYear (proposed src/domain/paycheck/index.ts)</t>
  </si>
  <si>
    <t>per-month guaranteed placements, dated bills, nest egg, safe-draw rate, required withdrawal</t>
  </si>
  <si>
    <t>Home · Guaranteed line</t>
  </si>
  <si>
    <t>retirementIncomeMonthly — src/domain/income/onboarding.ts (placed into months by F5)</t>
  </si>
  <si>
    <t>Social Security monthly, pension monthly, timing</t>
  </si>
  <si>
    <t>Home · Safe-draw line</t>
  </si>
  <si>
    <t>NET-NEW: F5 engine (starting from withdrawalPlan — src/domain/decumulation/index.ts)</t>
  </si>
  <si>
    <t>nest egg (investableAssets), guaranteed monthly, draw rate</t>
  </si>
  <si>
    <t>guaranteed + safe draw = this-month figure, on Home and Cash flow (agreement test)</t>
  </si>
  <si>
    <t>Home · Worth-a-look card + detail</t>
  </si>
  <si>
    <t>NET-NEW: F10 flag engine (proposed src/domain/transactions/flags.ts) over Transaction — src/domain/transactions/index.ts</t>
  </si>
  <si>
    <t>Transaction.amount/date/account_id/note/type; flag.reason/comparison/status</t>
  </si>
  <si>
    <t>card = detail = Cash flow transaction row, to the penny; explanation uses the stored comparison from flag time</t>
  </si>
  <si>
    <t>Home · Stale-connection banner</t>
  </si>
  <si>
    <t>NET-NEW: F1 Connection entity (proposed src/services/accountSync.ts)</t>
  </si>
  <si>
    <t>Home · Lens (stage) capture</t>
  </si>
  <si>
    <t>onboarding profile stage — src/domain/profile/onboarding.ts; lens resolver (NET-NEW) reads it for hero + tab order</t>
  </si>
  <si>
    <t>stage, intent</t>
  </si>
  <si>
    <t>One stage field drives the hero variant and the tab order on every tab — set at first run, editable in Settings.</t>
  </si>
  <si>
    <t>Net worth · headline number</t>
  </si>
  <si>
    <t>buildNetWorth (src/domain/networth/index.ts)</t>
  </si>
  <si>
    <t>Home, the tab and every other surface call buildNetWorth(totalAssets, totalDebtBalance) — pinned by the cross-screen agreement test (src/domain/assets/agreement.test.ts).</t>
  </si>
  <si>
    <t>Net worth · what you own total</t>
  </si>
  <si>
    <t>totalAssets (src/domain/assets/index.ts)</t>
  </si>
  <si>
    <t>balance (every AssetAccount)</t>
  </si>
  <si>
    <t>assetAllocation sums to totalAssets by construction — class rows always add up to the own total.</t>
  </si>
  <si>
    <t>Net worth · class rows / donut</t>
  </si>
  <si>
    <t>assetAllocation + assetClassOf + ASSET_CLASS_LABEL (src/domain/assets/index.ts)</t>
  </si>
  <si>
    <t>asset_class, kind, tax_bucket, positions, maturity_date</t>
  </si>
  <si>
    <t>Explicit asset_class always wins in assetClassOf, so the class approved at import/edit is the class shown everywhere.</t>
  </si>
  <si>
    <t>Net worth · what you owe</t>
  </si>
  <si>
    <t>totalDebtBalance + buildDebtState (src/domain/debt/index.ts)</t>
  </si>
  <si>
    <t>remaining_balance</t>
  </si>
  <si>
    <t>One debt total feeds the headline, the owe section and Home.</t>
  </si>
  <si>
    <t>Net worth · by-institution grouping</t>
  </si>
  <si>
    <t>invGroup toggle + institution grouping (src/screens/NetWorthScreen.tsx)</t>
  </si>
  <si>
    <t>institution</t>
  </si>
  <si>
    <t>Same institution string the merge rule and Import v2 write — one field powers grouping and de-duplication.</t>
  </si>
  <si>
    <t>Net worth · source chip + freshness</t>
  </si>
  <si>
    <t>NET-NEW: F1 sync seam fields on AssetAccount</t>
  </si>
  <si>
    <t>source, connection_id, institution_id, last_synced</t>
  </si>
  <si>
    <t>Chip wording rendered by one shared component on the tab, Account detail and merge sheet.</t>
  </si>
  <si>
    <t>Net worth · hide balances</t>
  </si>
  <si>
    <t>setHideBalances / BALANCE_MASK (src/domain/_shared/money.ts)</t>
  </si>
  <si>
    <t>Masking lives inside the shared money formatters (money, money2, moneyCompact) — structurally masks ALL amounts.</t>
  </si>
  <si>
    <t>Net worth · negative in red + word</t>
  </si>
  <si>
    <t>nwIdentity red styling (src/screens/NetWorthScreen.tsx) + NET-NEW word 'negative'</t>
  </si>
  <si>
    <t>net_worth &lt; 0</t>
  </si>
  <si>
    <t>Color always paired with the word — colorblind-safe rule.</t>
  </si>
  <si>
    <t>Net worth · emergency cushion</t>
  </si>
  <si>
    <t>cashTotal (src/domain/assets/index.ts) ÷ plannedMonthlySpend (src/domain/budget)</t>
  </si>
  <si>
    <t>cash-class balances, planned spend</t>
  </si>
  <si>
    <t>Same cashTotal as the Cash class row; same plannedMonthlySpend as the Plan tab (B-50).</t>
  </si>
  <si>
    <t>Connect · linked account writes</t>
  </si>
  <si>
    <t>NET-NEW: F1 sync seam → EXISTING store.addAsset / store.updateAsset (src/store/useStore.ts)</t>
  </si>
  <si>
    <t>balance, label, kind, source:'connected', institution_id, connection_id, last_synced</t>
  </si>
  <si>
    <t>Sync has no private write path — it uses the same store actions as manual entry, so linked numbers obey the same totals.</t>
  </si>
  <si>
    <t>Connect/Import · merge rule</t>
  </si>
  <si>
    <t>NET-NEW: F1 sync seam merge helper (pure, unit-tested like holdingsImport)</t>
  </si>
  <si>
    <t>institution_id/name match + account name or last-4 or balance-within-10%; merge via store.updateAsset keeping asset_id</t>
  </si>
  <si>
    <t>asset_id preserved on merge, so transaction history, retirement earmark and class settings survive — one institution, one account.</t>
  </si>
  <si>
    <t>Import · file parse</t>
  </si>
  <si>
    <t>importHoldings + parseCsv + decodeCsvBase64 (src/domain/import/holdingsImport.ts)</t>
  </si>
  <si>
    <t>symbol, ticker, shares, costPerShare, value, date, label, assetClass</t>
  </si>
  <si>
    <t>The preview and the save both read the same parsed holdings — what you approve is what is stored.</t>
  </si>
  <si>
    <t>Import · classification</t>
  </si>
  <si>
    <t>classifyHolding (src/domain/import/holdingsImport.ts) — EXTEND with crypto/currency/commodity patterns (v1.1)</t>
  </si>
  <si>
    <t>assetClass → saved as explicit asset_class</t>
  </si>
  <si>
    <t>Saved explicitly, so assetClassOf, the donut and the Alternatives screen all honor the reviewed class.</t>
  </si>
  <si>
    <t>Import · save path</t>
  </si>
  <si>
    <t>confirmImport (src/screens/ImportHoldingsScreen.tsx) → store.addAsset; v2 adds institution + merge via store.updateAsset</t>
  </si>
  <si>
    <t>positions, lots, balance, derive_balance, institution, source:'imported', last_synced</t>
  </si>
  <si>
    <t>Imported equities use the same positions model recomputeBalances and the transactions engine operate on.</t>
  </si>
  <si>
    <t>Account detail · record activity</t>
  </si>
  <si>
    <t>recordTransaction (src/store/useStore.ts) → applyTransaction (src/domain/transactions/index.ts)</t>
  </si>
  <si>
    <t>Transaction {date, type BUY/SELL/DEPOSIT/WITHDRAWAL/TRANSFER/DIVIDEND/INTEREST/COUPON, account_id, counter_account_id, ticker, shares, price, amount}</t>
  </si>
  <si>
    <t>One pure, tested engine applies every action (sell clamped to shares owned; cash hits the right field via usesSleeve) — same result from any screen.</t>
  </si>
  <si>
    <t>Account detail · activity history</t>
  </si>
  <si>
    <t>store.transactions filtered by account_id + txnLabel + cashEffect (src/domain/transactions/index.ts)</t>
  </si>
  <si>
    <t>append-only transactions[]</t>
  </si>
  <si>
    <t>Balance = opening state + these entries (+ price moves) — history and balance cannot drift.</t>
  </si>
  <si>
    <t>Cash deposit/withdraw/transfer from this tab</t>
  </si>
  <si>
    <t>EXISTING types DEPOSIT/WITHDRAWAL/TRANSFER; UI today only in the trade sheet (src/screens/PerformanceScreen.tsx) — v1.1 surfaces them on Account detail</t>
  </si>
  <si>
    <t>amount, date, counter_account_id</t>
  </si>
  <si>
    <t>Same recordTransaction path — moving the button does not fork the math.</t>
  </si>
  <si>
    <t>Bonds · metrics</t>
  </si>
  <si>
    <t>bondInfo, annualCoupon, currentYield, approxYTM, bondSummary (src/domain/bonds)</t>
  </si>
  <si>
    <t>Derived from the same four fields the editor saves; yield-to-maturity labeled an estimate on-screen.</t>
  </si>
  <si>
    <t>Bonds/Alternatives · sell (today) → ledger (v1.1)</t>
  </si>
  <si>
    <t>applySale (src/screens/BondsScreen.tsx, src/screens/OtherInvestmentsScreen.tsx) — replaced by recordTransaction BUY/SELL entries</t>
  </si>
  <si>
    <t>balance, face_value (proportional on partial sale), Transaction rows</t>
  </si>
  <si>
    <t>Existing before/after confirmation copy kept; the change is that the action now leaves a visible, auditable trace.</t>
  </si>
  <si>
    <t>Treasury bill sub-kind + 12-month rule</t>
  </si>
  <si>
    <t>NET-NEW kind 'treasury' in ASSET_KINDS; EXISTING maturityClass + isCashEquivalentLabel (src/domain/assets/index.ts)</t>
  </si>
  <si>
    <t>kind:'treasury', maturity_date, asset_class stamped once at save</t>
  </si>
  <si>
    <t>Rule applied once and stored (approved entry rule), so the classification never silently shifts with the calendar.</t>
  </si>
  <si>
    <t>Bond/alternative/manual · value as of + staleness</t>
  </si>
  <si>
    <t>NET-NEW: value_as_of on AssetAccount; 6-month rule; writes via store.updateAsset</t>
  </si>
  <si>
    <t>One field and one 6-month rule shared by bonds, alternatives, manual accounts — same nudge wording everywhere.</t>
  </si>
  <si>
    <t>Net worth · Your path ahead</t>
  </si>
  <si>
    <t>projectNestEgg — src/domain/retirement/index.ts:198 via the F11 shared assumptions source</t>
  </si>
  <si>
    <t>invested balances, contribMonthly, expectedReturn, retireAge</t>
  </si>
  <si>
    <t>Same projection as Plan detail band + Invest forward what-if; re-derives on adoption; actuals untouched.</t>
  </si>
  <si>
    <t>Invest · Total return % (period)</t>
  </si>
  <si>
    <t>portfolioPeriodReturn — src/domain/performance/index.ts:224 (rows from buildPerformance :150)</t>
  </si>
  <si>
    <t>positions[].lots, priceCache, period</t>
  </si>
  <si>
    <t>Equals the value-weighted sum of the same rows shown in winners &amp; laggards; attribution contributions reconcile to it (performance.test.ts).</t>
  </si>
  <si>
    <t>Invest · Total return $ (period)</t>
  </si>
  <si>
    <t>buildPerformance rows -&gt; unrealizedGain (src/domain/performance/index.ts:47) aggregated over the period window</t>
  </si>
  <si>
    <t>lots, latest close</t>
  </si>
  <si>
    <t>Header $ equals the sum of per-holding $ rows on the same screen.</t>
  </si>
  <si>
    <t>Invest · Market comparison ('ahead by X points')</t>
  </si>
  <si>
    <t>periodReturn on benchmark series (src/domain/performance/index.ts:105) + benchmarkTicker (:132); row.beatBy (:167)</t>
  </si>
  <si>
    <t>benchReturn, beatBy</t>
  </si>
  <si>
    <t>Same benchmark mapping used on every holding detail — one market number per period.</t>
  </si>
  <si>
    <t>Invest · You-vs-market trend line</t>
  </si>
  <si>
    <t>portfolioTrend — src/domain/performance/index.ts:198</t>
  </si>
  <si>
    <t>TrendPoint{date,value,bench}</t>
  </si>
  <si>
    <t>Last trend point matches the glance value (agreement test to add).</t>
  </si>
  <si>
    <t>Invest · Winners &amp; laggards</t>
  </si>
  <si>
    <t>attribution — src/domain/performance/index.ts:174</t>
  </si>
  <si>
    <t>weight, contribution</t>
  </si>
  <si>
    <t>weight x return of the same rows as the glance; sorted list sums (approx) to portfolio return.</t>
  </si>
  <si>
    <t>Invest · Price freshness line</t>
  </si>
  <si>
    <t>priceFreshness — src/services/marketData.ts:60 (used at PerformanceScreen.tsx:79)</t>
  </si>
  <si>
    <t>pricesFetchedAt</t>
  </si>
  <si>
    <t>One helper, one wording on every Invest surface; stale threshold 4 days lives only there.</t>
  </si>
  <si>
    <t>Invest · Missing-price fallback</t>
  </si>
  <si>
    <t>recomputeBalances — src/store/useStore.ts:13 (B-19: no price -&gt; costBasis, never $0)</t>
  </si>
  <si>
    <t>positions, priceCache</t>
  </si>
  <si>
    <t>Row display and totals both use the fallback — a holding is never $0 in one place and cost in another.</t>
  </si>
  <si>
    <t>Invest · Concentration callout</t>
  </si>
  <si>
    <t>NET-NEW: topHoldingConcentration in src/domain/performance (reuses attribution weights); account-level precedent EXISTS at src/domain/insights/index.ts:45</t>
  </si>
  <si>
    <t>marketValue/total per row</t>
  </si>
  <si>
    <t>Callout % equals the holding's listed share of total; thresholds are single constants.</t>
  </si>
  <si>
    <t>Invest · Holding value (stocks/funds)</t>
  </si>
  <si>
    <t>marketValue — src/domain/performance/index.ts:43; totalShares :33; costBasis :36; avgCost :39</t>
  </si>
  <si>
    <t>Same figure inside the account balance Net Worth shows (recomputeBalances single writer + assets agreement.test.ts).</t>
  </si>
  <si>
    <t>Invest · If-you-sold-today tax card</t>
  </si>
  <si>
    <t>capGains — src/domain/performance/index.ts:53; capGainsTax :67</t>
  </si>
  <si>
    <t>lots, price, ltRate/ordinaryRate</t>
  </si>
  <si>
    <t>Long + short gains sum to the header gain; labeled Estimate.</t>
  </si>
  <si>
    <t>Invest · Bond current value + as-of</t>
  </si>
  <si>
    <t>balance (bond value IS balance — src/domain/bonds/index.ts:1-3) + NET-NEW value_as_of field on AssetAccount (src/domain/assets/index.ts:34)</t>
  </si>
  <si>
    <t>Same balance flows to Net Worth and the nest egg — edit here, everywhere updates.</t>
  </si>
  <si>
    <t>Invest · Bond coupon / yields</t>
  </si>
  <si>
    <t>annualCoupon — src/domain/bonds/index.ts:21; currentYield :29; approxYTM :33; yearsToMaturity :24; bondInfo :16</t>
  </si>
  <si>
    <t>Coupon $ equals the bond's line inside interestIncomeAnnual (src/domain/bonds/index.ts:62) used by cash-flow income — one coupon figure.</t>
  </si>
  <si>
    <t>Invest · Bond rate-sensitivity card</t>
  </si>
  <si>
    <t>NET-NEW: bondRateSensitivity in src/domain/bonds (engine spec 1)</t>
  </si>
  <si>
    <t>face, coupon_rate, maturity_date, balance; starting yield = approxYTM</t>
  </si>
  <si>
    <t>Starting yield is the SAME approxYTM printed above the card; hidden whenever approxYTM is unavailable.</t>
  </si>
  <si>
    <t>Invest · Alternative value + summary</t>
  </si>
  <si>
    <t>isAlternative — src/domain/alternatives/index.ts:11; alternativesSummary :16; typical return via benchmarkReturn (src/domain/assets/index.ts:283) from ASSET_KINDS ret (:97)</t>
  </si>
  <si>
    <t>balance, kind</t>
  </si>
  <si>
    <t>Group subtotal = alternativesSummary.totalValue = sum of the same balances Net Worth shows.</t>
  </si>
  <si>
    <t>Invest · Reported return (past 12 months), editable in place</t>
  </si>
  <si>
    <t>actual_ttm field — src/domain/assets/index.ts:46; editor = TtmEditor (src/screens/RetirementCockpit.tsx:940, save via store.updateAsset :688) extracted to a shared ReportedReturnEditor (NET-NEW extraction, existing logic)</t>
  </si>
  <si>
    <t>actual_ttm (decimal, clearable)</t>
  </si>
  <si>
    <t>Retirement cockpit reads the same field via portfolioActualReturn (src/domain/assets/index.ts:73) — edit on Invest, Retirement updates; agreement test pins it.</t>
  </si>
  <si>
    <t>Invest · Look back result</t>
  </si>
  <si>
    <t>NET-NEW: lookBack in src/domain/performance (engine spec 2), built on the periodReturn/closeAsOf machinery (:105)</t>
  </si>
  <si>
    <t>amount, from/to series, monthsBack</t>
  </si>
  <si>
    <t>Each path's % equals what that ticker shows on Invest main for the same window (test: lookBack vs periodReturn).</t>
  </si>
  <si>
    <t>Invest · Record transaction / guardrails</t>
  </si>
  <si>
    <t>TransactionSheet — src/screens/PerformanceScreen.tsx:421; ledger types + applyTransaction — src/domain/transactions/index.ts:10; bond sale BondsScreen.tsx:135; alt sale OtherInvestmentsScreen.tsx:99</t>
  </si>
  <si>
    <t>type, account_id, ticker, shares, price, amount, date</t>
  </si>
  <si>
    <t>All classes write one ledger; replaying it reproduces balances (engine contract + tests).</t>
  </si>
  <si>
    <t>Invest · History</t>
  </si>
  <si>
    <t>HistorySheet — src/screens/PerformanceScreen.tsx:567; append-only Transaction with created_at (src/domain/transactions/index.ts:22)</t>
  </si>
  <si>
    <t>transactions[]</t>
  </si>
  <si>
    <t>History is the audit trail of the same balances shown everywhere.</t>
  </si>
  <si>
    <t>Invest · Hide balances</t>
  </si>
  <si>
    <t>useMoney + BALANCE_MASK — src/components/useMoney.ts; toggle in TopBar.tsx:100</t>
  </si>
  <si>
    <t>Every money figure on the tab renders through useMoney — masks ALL amounts, keeps % and dates (build-33 mask-ALL rule).</t>
  </si>
  <si>
    <t>Invest · Stale-value nudge (bonds/alts)</t>
  </si>
  <si>
    <t>NET-NEW: valueFreshness in src/domain/assets (engine spec 3), modeled on priceFreshness (src/services/marketData.ts:60)</t>
  </si>
  <si>
    <t>value_as_of, now</t>
  </si>
  <si>
    <t>One 6-month constant shared by bonds and alternatives; list-row '!' and detail nudge fire from the same helper.</t>
  </si>
  <si>
    <t>Invest · Forward what-if paths + range</t>
  </si>
  <si>
    <t>projectNestEgg — src/domain/retirement/index.ts:198; range via simulate(with_band) — :115; adoption via the shared F11 sheet</t>
  </si>
  <si>
    <t>contribMonthly + addMonthly, expectedReturn, retireAge, invested balances</t>
  </si>
  <si>
    <t>Baseline = Plan's projection exactly (shared assumptions, same engine); 'before' chance = hub headline.</t>
  </si>
  <si>
    <t>Invest · Planned contribution chip</t>
  </si>
  <si>
    <t>retirementAssumptions.contribMonthly — src/store/useStore.ts:427 (read through the F11 shared source)</t>
  </si>
  <si>
    <t>Equals Plan hub committed saving + Cash flow planned line — F11 propagation endpoint on Invest.</t>
  </si>
  <si>
    <t>Cash flow · Safe to spend this month</t>
  </si>
  <si>
    <t>NET-NEW: F5 paycheck engine (composes existing helpers below)</t>
  </si>
  <si>
    <t>F5 cell: guaranteed[], safeDraw, bills[], netSafeToSpend</t>
  </si>
  <si>
    <t>Hero = current F2/F5 cell = that month's bar = month-detail total (one agreement test across all four).</t>
  </si>
  <si>
    <t>Cash flow · Safe to spend this year</t>
  </si>
  <si>
    <t>NET-NEW: F5 rollup (sum of 12 dated cells)</t>
  </si>
  <si>
    <t>rollup.thisYear</t>
  </si>
  <si>
    <t>Equals the exact sum of the 12 by-month cells — never monthly × 12.</t>
  </si>
  <si>
    <t>Cash flow · Guaranteed income by source</t>
  </si>
  <si>
    <t>retirementIncomeMonthly + currentRetirementIncomeMonthly — src/domain/income/onboarding.ts</t>
  </si>
  <si>
    <t>ri_ss, ri_pension, ri_annuities, ri_other (ri_withdrawals/ri_rmd EXCLUDED — replaced by the solved safe draw + the pinned required withdrawal, so nothing is counted twice), ri_*_freq, NET-NEW ri_*_month/ri_*_day</t>
  </si>
  <si>
    <t>Named source lines sum to the guaranteed subtotal; same per-source amounts in month detail and Plan.</t>
  </si>
  <si>
    <t>Cash flow · Safe draw</t>
  </si>
  <si>
    <t>NET-NEW: F5 solve over simulate (src/domain/retirement/index.ts) + withdrawalPlan/taxBucketSplit (src/domain/decumulation/index.ts) + earmarkedAmount (src/domain/assets)</t>
  </si>
  <si>
    <t>live balances by tax bucket, Plan assumptions</t>
  </si>
  <si>
    <t>One solved number: identical on hero, month detail, and steer sheet; re-derives on any balance change.</t>
  </si>
  <si>
    <t>Cash flow · Big bills out</t>
  </si>
  <si>
    <t>spendByMonth — src/domain/budget/index.ts; upcomingBills — src/domain/cashflow/index.ts</t>
  </si>
  <si>
    <t>spendCats nonmonthly: months, dueDay, amount, NET-NEW year</t>
  </si>
  <si>
    <t>A month's big-bill total = the same month's dated bills on Bill calendar and Month detail.</t>
  </si>
  <si>
    <t>Cash flow · By-month dated bars</t>
  </si>
  <si>
    <t>F2 canonical grid = cashflowYear promoted — src/domain/cashflow/index.ts (~lines 147-232)</t>
  </si>
  <si>
    <t>12 cells: calendarMonth, year, label, inflow, outflow, net, runningBalance</t>
  </si>
  <si>
    <t>Bars, Bill-calendar rows, and Month detail all read the same cells — no second grid math anywhere.</t>
  </si>
  <si>
    <t>Cash flow · Working in/out/surplus</t>
  </si>
  <si>
    <t>incomeMonthlyGrid (src/domain/income/onboarding.ts), spendByMonth (src/domain/budget/index.ts), actualDebtPayment (src/domain/debt/index.ts), surplusByMonth (src/domain/savings/index.ts)</t>
  </si>
  <si>
    <t>salaryByMonth, spendCats, debt payments</t>
  </si>
  <si>
    <t>Surplus = Home glance = Budget (existing canonical after-debt surplus agreement test, extended here).</t>
  </si>
  <si>
    <t>Cash flow · Spent so far</t>
  </si>
  <si>
    <t>budgetVsActual — src/domain/budget/index.ts</t>
  </si>
  <si>
    <t>expenses[], planned_total, spent_total</t>
  </si>
  <si>
    <t>Matches Budget's this-month planned-vs-actual exactly.</t>
  </si>
  <si>
    <t>Cash flow · Future paycheck projection</t>
  </si>
  <si>
    <t>NET-NEW: F5 projection mode over simulate().projected_at_retirement (src/domain/retirement/index.ts) + future ri_* entries</t>
  </si>
  <si>
    <t>retire age, projected balance, future Social Security/pension</t>
  </si>
  <si>
    <t>Card = Plan's retirement-paycheck numbers (one projection run); 'estimate, not a promise' label is mandatory.</t>
  </si>
  <si>
    <t>Cash flow · Will-it-last strip</t>
  </si>
  <si>
    <t>simulate — src/domain/retirement/index.ts</t>
  </si>
  <si>
    <t>Identical percentage as Plan — same inputs and same seeded run; Plan is the canonical home.</t>
  </si>
  <si>
    <t>Cash flow · Draw order + balances</t>
  </si>
  <si>
    <t>withdrawalOrder + taxBucketSplit — src/domain/decumulation/index.ts; earmarkedAmount — src/domain/assets</t>
  </si>
  <si>
    <t>tax_bucket, earmark, age, OrderStep.why</t>
  </si>
  <si>
    <t>Bucket balances sum to the safe-draw nest egg and match Net worth's grouping.</t>
  </si>
  <si>
    <t>Cash flow · Required withdrawal (73+)</t>
  </si>
  <si>
    <t>rmdAtAge, rmdDivisor, RMD_START_AGE — src/domain/decumulation/index.ts</t>
  </si>
  <si>
    <t>age, pre-tax balance</t>
  </si>
  <si>
    <t>Same required amount here and in Plan (same helper, same balance).</t>
  </si>
  <si>
    <t>Bill calendar · Cash on hand</t>
  </si>
  <si>
    <t>cashTotal — src/domain/assets</t>
  </si>
  <si>
    <t>cash-bucket account balances</t>
  </si>
  <si>
    <t>Equals Net worth's cash figure for the same accounts.</t>
  </si>
  <si>
    <t>Bill calendar · Coming up</t>
  </si>
  <si>
    <t>upcomingBills — src/domain/cashflow/index.ts</t>
  </si>
  <si>
    <t>dueDate, needByDate, askByDate, availableByNeed, shortfall</t>
  </si>
  <si>
    <t>Bill amount + date match Month detail and that month's Out column.</t>
  </si>
  <si>
    <t>Bill calendar · Deferred debt</t>
  </si>
  <si>
    <t>NET-NEW field Debt.first_payment_date + requiredPayment/payoffPlan — src/domain/debt/index.ts</t>
  </si>
  <si>
    <t>first_payment_date, due_day, monthly_payment, interest_rate_apr</t>
  </si>
  <si>
    <t>No payment appears in any month before the first payment date on ANY surface, and the debt-free date reflects the deferral (one test walks grid, calendar, detail, payoff).</t>
  </si>
  <si>
    <t>Month detail · All rows</t>
  </si>
  <si>
    <t>Pure renderer over one F2/F5 cell (no local math)</t>
  </si>
  <si>
    <t>the tapped cell object</t>
  </si>
  <si>
    <t>Visible rows sum exactly to the bar/headline — enforced by test, not by hope.</t>
  </si>
  <si>
    <t>Cash flow · Monthly income capture</t>
  </si>
  <si>
    <t>ri_* fields + retirementIncomeMonthly / currentRetirementIncomeMonthly — src/domain/income/onboarding.ts (screen NET-NEW; ri_*_day/_month placement fields NET-NEW)</t>
  </si>
  <si>
    <t>ri_ss, ri_pension, ri_annuities, freq, day/month</t>
  </si>
  <si>
    <t>Saved amounts = the named 'Guaranteed' lines on Home/Cash flow/Month detail — one source (B-31).</t>
  </si>
  <si>
    <t>Plan · Will-it-last chance + band</t>
  </si>
  <si>
    <t>simulate() -- src/domain/retirement/index.ts:115 (seeded; with_band returns per-age low/typical/high)</t>
  </si>
  <si>
    <t>chance_of_success; BandPoint[age, p10, p50, p90]; inputs resolved from retirementAssumptions (src/store/useStore.ts:233, defaults :427)</t>
  </si>
  <si>
    <t>One selectWillItLast selector (NET-NEW) feeds Plan hub, Home hero, Cash flow strip, and the detail screen; cross-screen agreement test pins the digit.</t>
  </si>
  <si>
    <t>Plan · Shared assumptions object</t>
  </si>
  <si>
    <t>retirementAssumptions + setRetirementAssumptions -- src/store/useStore.ts:233 / :628</t>
  </si>
  <si>
    <t>retireAge, horizonAge, contribMonthly, spendMonthly, guaranteedMonthly, ssEligible, ssMonthly, ssClaimAge, expectedReturn, inflation, risk (+ NET-NEW: commitments[], rothConversionThisYear, planHistory)</t>
  </si>
  <si>
    <t>The ONE write target for every adoption; today read only by RetirementCockpit + SharpenPlanScreen -- v1 wires Home, Cash flow (F5), and Net worth projection to read it (core F11 build).</t>
  </si>
  <si>
    <t>Plan · Saved scenarios</t>
  </si>
  <si>
    <t>saveRetirementScenario / deleteRetirementScenario / retirementScenarios -- src/store/useStore.ts:630-635 / :636 / :235</t>
  </si>
  <si>
    <t>id, name, createdAt, assumptions snapshot, retireAge, chance (+ NET-NEW: patch)</t>
  </si>
  <si>
    <t>Saving never changes the live plan; reopened scenarios re-run against today's numbers and show both saved and current chance.</t>
  </si>
  <si>
    <t>Plan · Social Security monthly by claim age</t>
  </si>
  <si>
    <t>NET-NEW: F8 ssBenefitAtClaimAge(statementMonthly, claimAge) -- standard early-reduction / delayed-credit factors on the user's own statement amount</t>
  </si>
  <si>
    <t>ssMonthly (user input), claimAge 62/67/70 -&gt; monthly; lifetime = monthly x months to the live-to slider age</t>
  </si>
  <si>
    <t>Age-67 row equals the statement amount exactly (factor 1.0), unit-tested; adopted option's monthly = guaranteedMonthly in simulate() = Cash flow's post-claim deposit line.</t>
  </si>
  <si>
    <t>Plan · Claim-age effect on will-it-last</t>
  </si>
  <si>
    <t>simulate() with guaranteed_start_age (field EXISTS on RetirementInputs) -- src/domain/retirement/index.ts</t>
  </si>
  <si>
    <t>guaranteed_start_age = 62/67/70; guaranteed_monthly_income = benefit at that age</t>
  </si>
  <si>
    <t>Bar for the adopted claim age = hub headline percent, same seed and inputs.</t>
  </si>
  <si>
    <t>Plan · Multi-goal capacity verdict</t>
  </si>
  <si>
    <t>availableToSaveSummary() -- src/domain/goals/index.ts:70; NET-NEW F4 weigher does the combined subtraction</t>
  </si>
  <si>
    <t>capacity, committed = sum of toggled goal monthlies, surplus/shortfall</t>
  </si>
  <si>
    <t>Capacity = Cash flow tab's available-to-save to the dollar (same helper); shortfall here can never contradict Cash flow.</t>
  </si>
  <si>
    <t>Plan · Goal finish dates</t>
  </si>
  <si>
    <t>monthsToGoal() / requiredMonthly() -- src/domain/goals/index.ts:116 / :108; goals seeded via seedGoals (src/store/useStore.ts:583)</t>
  </si>
  <si>
    <t>per goal: target, saved, monthlyAmount -&gt; end date</t>
  </si>
  <si>
    <t>Finish date in the composer = finish date on any other goal surface at the same monthly amount.</t>
  </si>
  <si>
    <t>Plan · Extra-on-debt payoff</t>
  </si>
  <si>
    <t>payoffPlan() -- src/domain/debt/index.ts:96</t>
  </si>
  <si>
    <t>debts + extraMonthly -&gt; payoff month, interest saved</t>
  </si>
  <si>
    <t>Payoff month here = Money/Debts screen for the same extra -- one call path.</t>
  </si>
  <si>
    <t>Plan · Retire-age effect</t>
  </si>
  <si>
    <t>solveRetireAge() -- src/domain/retirement/index.ts:225</t>
  </si>
  <si>
    <t>annual_contribution = retirement dial x 12; other inputs from shared assumptions</t>
  </si>
  <si>
    <t>'Before' retire age and chance = hub's current numbers, read from the same selector.</t>
  </si>
  <si>
    <t>Plan · Roth buckets + balances</t>
  </si>
  <si>
    <t>taxBucketSplit() -- src/domain/decumulation/index.ts:10</t>
  </si>
  <si>
    <t>accounts -&gt; taxable / pre-tax / tax-free / cash</t>
  </si>
  <si>
    <t>Pre-tax balance on the Roth screen = Net worth by-type pre-tax bucket, agreement-tested.</t>
  </si>
  <si>
    <t>Plan · Roth tax-now estimate</t>
  </si>
  <si>
    <t>rothConversion() -- src/domain/planning/index.ts:91 (planning module, not retirement)</t>
  </si>
  <si>
    <t>conversionAmount x estimated rate; rate source shown and editable</t>
  </si>
  <si>
    <t>Income behind the rate = the same income Cash flow uses; adopted tax cost appears in Cash flow's April as a planned expense with the same figure.</t>
  </si>
  <si>
    <t>Plan · Required minimum withdrawals</t>
  </si>
  <si>
    <t>rmdAtAge() / RMD_START_AGE=73 / withdrawalOrder() -- src/domain/decumulation/index.ts:100 / :82 / :64</t>
  </si>
  <si>
    <t>pre-tax balance projected to each year from age 73 -&gt; mandated amount per year</t>
  </si>
  <si>
    <t>Age-73 figure on the Roth screen = year-73 row on the retirement-transition schedule -- one rmdAtAge() path.</t>
  </si>
  <si>
    <t>Plan · Adoption diff + revert</t>
  </si>
  <si>
    <t>NET-NEW: F11 scenarioDiff(base, patch), adoptPlan(patch, label), revertPlan() -- snapshot stack planHistory (new store field)</t>
  </si>
  <si>
    <t>diff rows {label, old, new}; planHistory {snapshot, label, date} x5</t>
  </si>
  <si>
    <t>Preview payload = write payload (same object, contract-tested); adopt-then-revert round-trip leaves every screen byte-identical.</t>
  </si>
  <si>
    <t>Plan · Sharpen-your-plan meter</t>
  </si>
  <si>
    <t>planCompleteness() -- src/domain/completeness/index.ts:15; screen exists: src/screens/SharpenPlanScreen.tsx</t>
  </si>
  <si>
    <t>checks[], doneCount, total, pct</t>
  </si>
  <si>
    <t>Same count on hub, detail screen, and SharpenPlanScreen -- one helper.</t>
  </si>
  <si>
    <t>Plan · Required-withdrawal screen (this year + schedule)</t>
  </si>
  <si>
    <t>rmdAtAge / RMD_START_AGE — src/domain/decumulation/index.ts:100/:82; taken-so-far from the transaction ledger; future years via projectNestEgg (src/domain/retirement/index.ts:198)</t>
  </si>
  <si>
    <t>pre-tax balance, age, divisors, WITHDRAWAL ledger rows, shared plan assumptions</t>
  </si>
  <si>
    <t>Required amount = draw-order sheet's pinned step = Roth screen's year-73 comparison — one helper; schedule re-derives when a scenario is adopted (F11).</t>
  </si>
  <si>
    <t>Home/Cash flow · '+ Expense' floating button (DECIDED)</t>
  </si>
  <si>
    <t>NET-NEW floating button → Quick-add expense form; top-bar NW chip removed (TopBar.tsx)</t>
  </si>
  <si>
    <t>Two screens, same corner, same label; B-49 pin unaffected; lists get bottom padding.</t>
  </si>
  <si>
    <t>Invest · Where the return came from</t>
  </si>
  <si>
    <t>NET-NEW roll-up over ledger SELL/DIVIDEND/INTEREST/COUPON + unrealized math</t>
  </si>
  <si>
    <t>transactions by type + period</t>
  </si>
  <si>
    <t>Four lines sum to the headline period return.</t>
  </si>
  <si>
    <t>Cash flow · Quick-add expense</t>
  </si>
  <si>
    <t>expenses store + budget categories (budgetVsActual) + receipt OCR (existing)</t>
  </si>
  <si>
    <t>amount, category, date, note</t>
  </si>
  <si>
    <t>Saved expenses = the 'spent so far' figure on Cash flow AND Budget — one store.</t>
  </si>
  <si>
    <t>Net worth · Manual add/edit (dynamic)</t>
  </si>
  <si>
    <t>AssetSheet/BondEditor/AltEditor/DebtSheet field sets → store.addAsset/updateAsset</t>
  </si>
  <si>
    <t>per class + tax_bucket + retirement_pct + value_as_of</t>
  </si>
  <si>
    <t>One write path; same fields as the per-class editors.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</si>
</sst>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color rgb="FFFFFFFF"/>
      <name val="Calibri"/>
      <family val="2"/>
    </font>
    <font>
      <b/>
      <sz val="10.5"/>
      <name val="Calibri"/>
      <family val="2"/>
    </font>
    <font>
      <sz val="10.5"/>
      <name val="Calibri"/>
      <family val="2"/>
    </font>
    <font>
      <sz val="10"/>
      <color rgb="FFFFFFFF"/>
      <name val="Calibri"/>
      <family val="2"/>
    </font>
    <font>
      <sz val="10"/>
      <name val="Courier New"/>
      <family val="1"/>
    </font>
    <font>
      <sz val="9"/>
      <name val="Courier New"/>
      <family val="1"/>
    </font>
    <font>
      <b/>
      <sz val="11"/>
      <color rgb="FFFFFFFF"/>
      <name val="Calibri"/>
      <family val="2"/>
    </font>
    <font>
      <sz val="10.5"/>
      <name val="Calibri"/>
      <family val="2"/>
    </font>
    <font>
      <b/>
      <sz val="10.5"/>
      <name val="Calibri"/>
      <family val="2"/>
    </font>
    <font>
      <b/>
      <sz val="11"/>
      <color rgb="FFFFFFFF"/>
      <name val="Calibri"/>
      <family val="2"/>
    </font>
    <font>
      <b/>
      <sz val="11"/>
      <color rgb="FF1F6E43"/>
      <name val="Calibri"/>
      <family val="2"/>
    </font>
  </fonts>
  <fills count="6">
    <fill>
      <patternFill patternType="none"/>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s>
  <borders count="1">
    <border>
      <left/>
      <right/>
      <top/>
      <bottom/>
      <diagonal/>
    </border>
  </borders>
  <cellStyleXfs count="1">
    <xf numFmtId="0" fontId="0" fillId="0" borderId="0"/>
  </cellStyleXfs>
  <cellXfs count="17">
    <xf numFmtId="0" fontId="0" fillId="0" borderId="0" xfId="0"/>
    <xf numFmtId="0" fontId="1" fillId="2" borderId="0" xfId="0" applyFont="1" applyFill="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1" fillId="3" borderId="0" xfId="0" applyFont="1" applyFill="1" applyAlignment="1">
      <alignment vertical="top" wrapText="1"/>
    </xf>
    <xf numFmtId="0" fontId="4" fillId="3" borderId="0" xfId="0" applyFont="1" applyFill="1" applyAlignment="1">
      <alignment vertical="top" wrapText="1"/>
    </xf>
    <xf numFmtId="0" fontId="0" fillId="3" borderId="0" xfId="0" applyFill="1"/>
    <xf numFmtId="0" fontId="2" fillId="0" borderId="0" xfId="0" applyFont="1"/>
    <xf numFmtId="0" fontId="5" fillId="0" borderId="0" xfId="0" applyFont="1" applyAlignment="1">
      <alignment vertical="top" wrapText="1"/>
    </xf>
    <xf numFmtId="0" fontId="7" fillId="2" borderId="0" xfId="0" applyFont="1" applyFill="1" applyAlignment="1">
      <alignment vertical="top" wrapText="1"/>
    </xf>
    <xf numFmtId="0" fontId="9" fillId="0" borderId="0" xfId="0" applyFont="1" applyAlignment="1">
      <alignment vertical="top" wrapText="1"/>
    </xf>
    <xf numFmtId="0" fontId="8" fillId="0" borderId="0" xfId="0" applyFont="1" applyAlignment="1">
      <alignment vertical="top" wrapText="1"/>
    </xf>
    <xf numFmtId="0" fontId="8" fillId="4" borderId="0" xfId="0" applyFont="1" applyFill="1" applyAlignment="1">
      <alignment vertical="top" wrapText="1"/>
    </xf>
    <xf numFmtId="0" fontId="6" fillId="0" borderId="0" xfId="0" applyFont="1" applyAlignment="1">
      <alignment vertical="top" wrapText="1"/>
    </xf>
    <xf numFmtId="0" fontId="11" fillId="0" borderId="0" xfId="0" applyFont="1" applyAlignment="1">
      <alignment vertical="top" wrapText="1"/>
    </xf>
    <xf numFmtId="0" fontId="10" fillId="5"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
  <sheetViews>
    <sheetView workbookViewId="0">
      <pane ySplit="1" topLeftCell="A2" activePane="bottomLeft" state="frozen"/>
      <selection pane="bottomLeft"/>
    </sheetView>
  </sheetViews>
  <sheetFormatPr baseColWidth="10" defaultColWidth="8.83203125" defaultRowHeight="15" x14ac:dyDescent="0.2"/>
  <cols>
    <col min="1" max="1" width="24" customWidth="1"/>
    <col min="2" max="2" width="110" customWidth="1"/>
    <col min="3" max="3" width="11" customWidth="1"/>
    <col min="4" max="4" width="26" customWidth="1"/>
  </cols>
  <sheetData>
    <row r="1" spans="1:4" ht="48" customHeight="1" x14ac:dyDescent="0.2">
      <c r="A1" s="15" t="s">
        <v>184</v>
      </c>
    </row>
    <row r="2" spans="1:4" ht="140" customHeight="1" x14ac:dyDescent="0.2">
      <c r="A2" s="1" t="s">
        <v>185</v>
      </c>
      <c r="B2" s="1" t="s">
        <v>186</v>
      </c>
      <c r="C2" s="1" t="s">
        <v>5</v>
      </c>
      <c r="D2" s="1" t="s">
        <v>187</v>
      </c>
    </row>
    <row r="3" spans="1:4" ht="84" customHeight="1" x14ac:dyDescent="0.2">
      <c r="A3" s="2" t="s">
        <v>188</v>
      </c>
      <c r="B3" s="3" t="s">
        <v>189</v>
      </c>
    </row>
    <row r="4" spans="1:4" ht="84" customHeight="1" x14ac:dyDescent="0.2">
      <c r="A4" s="2" t="s">
        <v>190</v>
      </c>
      <c r="B4" s="3" t="s">
        <v>191</v>
      </c>
    </row>
    <row r="5" spans="1:4" ht="84" customHeight="1" x14ac:dyDescent="0.2">
      <c r="A5" s="2" t="s">
        <v>192</v>
      </c>
      <c r="B5" s="3" t="s">
        <v>193</v>
      </c>
    </row>
    <row r="6" spans="1:4" ht="32" customHeight="1" x14ac:dyDescent="0.2">
      <c r="A6" s="2" t="s">
        <v>194</v>
      </c>
      <c r="B6" s="3" t="s">
        <v>195</v>
      </c>
    </row>
    <row r="7" spans="1:4" ht="32" x14ac:dyDescent="0.2">
      <c r="A7" s="2" t="s">
        <v>196</v>
      </c>
      <c r="B7" s="3" t="s">
        <v>197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7"/>
  <sheetViews>
    <sheetView zoomScale="150" workbookViewId="0">
      <pane ySplit="1" topLeftCell="A8" activePane="bottomLeft" state="frozen"/>
      <selection pane="bottomLeft" activeCell="D29" sqref="D29"/>
    </sheetView>
  </sheetViews>
  <sheetFormatPr baseColWidth="10" defaultColWidth="8.83203125" defaultRowHeight="15" x14ac:dyDescent="0.2"/>
  <cols>
    <col min="1" max="1" width="5" customWidth="1"/>
    <col min="2" max="2" width="22" customWidth="1"/>
    <col min="3" max="3" width="36" customWidth="1"/>
    <col min="4" max="4" width="64" customWidth="1"/>
    <col min="5" max="5" width="42" customWidth="1"/>
    <col min="6" max="6" width="11" customWidth="1"/>
    <col min="7" max="7" width="22" customWidth="1"/>
  </cols>
  <sheetData>
    <row r="1" spans="1:7" ht="32" customHeight="1" x14ac:dyDescent="0.2">
      <c r="A1" s="10" t="s">
        <v>0</v>
      </c>
      <c r="B1" s="10" t="s">
        <v>1</v>
      </c>
      <c r="C1" s="10" t="s">
        <v>2</v>
      </c>
      <c r="D1" s="10" t="s">
        <v>3</v>
      </c>
      <c r="E1" s="10" t="s">
        <v>4</v>
      </c>
      <c r="F1" s="10" t="s">
        <v>5</v>
      </c>
      <c r="G1" s="10" t="s">
        <v>6</v>
      </c>
    </row>
    <row r="2" spans="1:7" ht="84" customHeight="1" x14ac:dyDescent="0.2">
      <c r="A2" s="11" t="s">
        <v>7</v>
      </c>
      <c r="B2" s="12" t="s">
        <v>8</v>
      </c>
      <c r="C2" s="12" t="s">
        <v>9</v>
      </c>
      <c r="D2" s="12" t="s">
        <v>10</v>
      </c>
      <c r="E2" s="13" t="s">
        <v>11</v>
      </c>
    </row>
    <row r="3" spans="1:7" ht="84" customHeight="1" x14ac:dyDescent="0.2">
      <c r="A3" s="11" t="s">
        <v>12</v>
      </c>
      <c r="B3" s="12" t="s">
        <v>8</v>
      </c>
      <c r="C3" s="12" t="s">
        <v>13</v>
      </c>
      <c r="D3" s="12" t="s">
        <v>14</v>
      </c>
      <c r="E3" s="13" t="s">
        <v>15</v>
      </c>
    </row>
    <row r="4" spans="1:7" ht="84" customHeight="1" x14ac:dyDescent="0.2">
      <c r="A4" s="11" t="s">
        <v>16</v>
      </c>
      <c r="B4" s="12" t="s">
        <v>8</v>
      </c>
      <c r="C4" s="12" t="s">
        <v>17</v>
      </c>
      <c r="D4" s="12" t="s">
        <v>18</v>
      </c>
      <c r="E4" s="13" t="s">
        <v>19</v>
      </c>
    </row>
    <row r="5" spans="1:7" ht="84" customHeight="1" x14ac:dyDescent="0.2">
      <c r="A5" s="11" t="s">
        <v>20</v>
      </c>
      <c r="B5" s="12" t="s">
        <v>8</v>
      </c>
      <c r="C5" s="12" t="s">
        <v>21</v>
      </c>
      <c r="D5" s="12" t="s">
        <v>22</v>
      </c>
      <c r="E5" s="13" t="s">
        <v>23</v>
      </c>
    </row>
    <row r="6" spans="1:7" ht="84" customHeight="1" x14ac:dyDescent="0.2">
      <c r="A6" s="11" t="s">
        <v>24</v>
      </c>
      <c r="B6" s="12" t="s">
        <v>25</v>
      </c>
      <c r="C6" s="12" t="s">
        <v>26</v>
      </c>
      <c r="D6" s="12" t="s">
        <v>27</v>
      </c>
      <c r="E6" s="13" t="s">
        <v>28</v>
      </c>
    </row>
    <row r="7" spans="1:7" ht="84" customHeight="1" x14ac:dyDescent="0.2">
      <c r="A7" s="11" t="s">
        <v>29</v>
      </c>
      <c r="B7" s="12" t="s">
        <v>30</v>
      </c>
      <c r="C7" s="12" t="s">
        <v>31</v>
      </c>
      <c r="D7" s="12" t="s">
        <v>32</v>
      </c>
      <c r="E7" s="13" t="s">
        <v>33</v>
      </c>
    </row>
    <row r="8" spans="1:7" ht="84" customHeight="1" x14ac:dyDescent="0.2">
      <c r="A8" s="11" t="s">
        <v>34</v>
      </c>
      <c r="B8" s="12" t="s">
        <v>35</v>
      </c>
      <c r="C8" s="12" t="s">
        <v>36</v>
      </c>
      <c r="D8" s="12" t="s">
        <v>37</v>
      </c>
      <c r="E8" s="13" t="s">
        <v>38</v>
      </c>
    </row>
    <row r="9" spans="1:7" ht="84" customHeight="1" x14ac:dyDescent="0.2">
      <c r="A9" s="11" t="s">
        <v>39</v>
      </c>
      <c r="B9" s="12" t="s">
        <v>40</v>
      </c>
      <c r="C9" s="12" t="s">
        <v>41</v>
      </c>
      <c r="D9" s="12" t="s">
        <v>42</v>
      </c>
      <c r="E9" s="13" t="s">
        <v>43</v>
      </c>
    </row>
    <row r="10" spans="1:7" ht="84" customHeight="1" x14ac:dyDescent="0.2">
      <c r="A10" s="11" t="s">
        <v>44</v>
      </c>
      <c r="B10" s="12" t="s">
        <v>45</v>
      </c>
      <c r="C10" s="12" t="s">
        <v>46</v>
      </c>
      <c r="D10" s="12" t="s">
        <v>47</v>
      </c>
      <c r="E10" s="13" t="s">
        <v>48</v>
      </c>
    </row>
    <row r="11" spans="1:7" ht="84" customHeight="1" x14ac:dyDescent="0.2">
      <c r="A11" s="11" t="s">
        <v>49</v>
      </c>
      <c r="B11" s="12" t="s">
        <v>50</v>
      </c>
      <c r="C11" s="12" t="s">
        <v>51</v>
      </c>
      <c r="D11" s="12" t="s">
        <v>52</v>
      </c>
      <c r="E11" s="13" t="s">
        <v>53</v>
      </c>
    </row>
    <row r="12" spans="1:7" ht="84" customHeight="1" x14ac:dyDescent="0.2">
      <c r="A12" s="11" t="s">
        <v>54</v>
      </c>
      <c r="B12" s="12" t="s">
        <v>55</v>
      </c>
      <c r="C12" s="12" t="s">
        <v>56</v>
      </c>
      <c r="D12" s="12" t="s">
        <v>57</v>
      </c>
      <c r="E12" s="13" t="s">
        <v>58</v>
      </c>
    </row>
    <row r="13" spans="1:7" ht="84" customHeight="1" x14ac:dyDescent="0.2">
      <c r="A13" s="11" t="s">
        <v>59</v>
      </c>
      <c r="B13" s="12" t="s">
        <v>60</v>
      </c>
      <c r="C13" s="12" t="s">
        <v>61</v>
      </c>
      <c r="D13" s="12" t="s">
        <v>62</v>
      </c>
      <c r="E13" s="13" t="s">
        <v>63</v>
      </c>
    </row>
    <row r="14" spans="1:7" ht="84" customHeight="1" x14ac:dyDescent="0.2">
      <c r="A14" s="11" t="s">
        <v>64</v>
      </c>
      <c r="B14" s="12" t="s">
        <v>65</v>
      </c>
      <c r="C14" s="12" t="s">
        <v>66</v>
      </c>
      <c r="D14" s="12" t="s">
        <v>67</v>
      </c>
      <c r="E14" s="13" t="s">
        <v>68</v>
      </c>
    </row>
    <row r="15" spans="1:7" ht="84" customHeight="1" x14ac:dyDescent="0.2">
      <c r="A15" s="11" t="s">
        <v>69</v>
      </c>
      <c r="B15" s="12" t="s">
        <v>70</v>
      </c>
      <c r="C15" s="12" t="s">
        <v>71</v>
      </c>
      <c r="D15" s="12" t="s">
        <v>72</v>
      </c>
      <c r="E15" s="13" t="s">
        <v>73</v>
      </c>
    </row>
    <row r="16" spans="1:7" ht="84" customHeight="1" x14ac:dyDescent="0.2">
      <c r="A16" s="11" t="s">
        <v>74</v>
      </c>
      <c r="B16" s="12" t="s">
        <v>75</v>
      </c>
      <c r="C16" s="12" t="s">
        <v>76</v>
      </c>
      <c r="D16" s="12" t="s">
        <v>77</v>
      </c>
      <c r="E16" s="13" t="s">
        <v>78</v>
      </c>
    </row>
    <row r="17" spans="1:5" ht="84" customHeight="1" x14ac:dyDescent="0.2">
      <c r="A17" s="11" t="s">
        <v>79</v>
      </c>
      <c r="B17" s="12" t="s">
        <v>80</v>
      </c>
      <c r="C17" s="12" t="s">
        <v>81</v>
      </c>
      <c r="D17" s="12" t="s">
        <v>82</v>
      </c>
      <c r="E17" s="13" t="s">
        <v>83</v>
      </c>
    </row>
    <row r="18" spans="1:5" ht="84" customHeight="1" x14ac:dyDescent="0.2">
      <c r="A18" s="11" t="s">
        <v>84</v>
      </c>
      <c r="B18" s="12" t="s">
        <v>85</v>
      </c>
      <c r="C18" s="12" t="s">
        <v>86</v>
      </c>
      <c r="D18" s="12" t="s">
        <v>87</v>
      </c>
      <c r="E18" s="13" t="s">
        <v>88</v>
      </c>
    </row>
    <row r="19" spans="1:5" ht="84" customHeight="1" x14ac:dyDescent="0.2">
      <c r="A19" s="11" t="s">
        <v>89</v>
      </c>
      <c r="B19" s="12" t="s">
        <v>90</v>
      </c>
      <c r="C19" s="12" t="s">
        <v>91</v>
      </c>
      <c r="D19" s="12" t="s">
        <v>92</v>
      </c>
      <c r="E19" s="13" t="s">
        <v>93</v>
      </c>
    </row>
    <row r="20" spans="1:5" ht="84" customHeight="1" x14ac:dyDescent="0.2">
      <c r="A20" s="11" t="s">
        <v>94</v>
      </c>
      <c r="B20" s="12" t="s">
        <v>95</v>
      </c>
      <c r="C20" s="12" t="s">
        <v>96</v>
      </c>
      <c r="D20" s="12" t="s">
        <v>97</v>
      </c>
      <c r="E20" s="13" t="s">
        <v>98</v>
      </c>
    </row>
    <row r="21" spans="1:5" ht="84" customHeight="1" x14ac:dyDescent="0.2">
      <c r="A21" s="11" t="s">
        <v>99</v>
      </c>
      <c r="B21" s="12" t="s">
        <v>100</v>
      </c>
      <c r="C21" s="12" t="s">
        <v>101</v>
      </c>
      <c r="D21" s="12" t="s">
        <v>102</v>
      </c>
      <c r="E21" s="13" t="s">
        <v>103</v>
      </c>
    </row>
    <row r="22" spans="1:5" ht="84" customHeight="1" x14ac:dyDescent="0.2">
      <c r="A22" s="11" t="s">
        <v>104</v>
      </c>
      <c r="B22" s="12" t="s">
        <v>105</v>
      </c>
      <c r="C22" s="12" t="s">
        <v>106</v>
      </c>
      <c r="D22" s="12" t="s">
        <v>107</v>
      </c>
      <c r="E22" s="13" t="s">
        <v>108</v>
      </c>
    </row>
    <row r="23" spans="1:5" ht="84" customHeight="1" x14ac:dyDescent="0.2">
      <c r="A23" s="11" t="s">
        <v>109</v>
      </c>
      <c r="B23" s="12" t="s">
        <v>110</v>
      </c>
      <c r="C23" s="12" t="s">
        <v>111</v>
      </c>
      <c r="D23" s="12" t="s">
        <v>112</v>
      </c>
      <c r="E23" s="13" t="s">
        <v>113</v>
      </c>
    </row>
    <row r="24" spans="1:5" ht="84" customHeight="1" x14ac:dyDescent="0.2">
      <c r="A24" s="11" t="s">
        <v>114</v>
      </c>
      <c r="B24" s="12" t="s">
        <v>115</v>
      </c>
      <c r="C24" s="12" t="s">
        <v>116</v>
      </c>
      <c r="D24" s="12" t="s">
        <v>117</v>
      </c>
      <c r="E24" s="13" t="s">
        <v>118</v>
      </c>
    </row>
    <row r="25" spans="1:5" ht="84" customHeight="1" x14ac:dyDescent="0.2">
      <c r="A25" s="11" t="s">
        <v>119</v>
      </c>
      <c r="B25" s="12" t="s">
        <v>120</v>
      </c>
      <c r="C25" s="12" t="s">
        <v>121</v>
      </c>
      <c r="D25" s="12" t="s">
        <v>122</v>
      </c>
      <c r="E25" s="13" t="s">
        <v>123</v>
      </c>
    </row>
    <row r="26" spans="1:5" ht="122" customHeight="1" x14ac:dyDescent="0.2">
      <c r="A26" s="11" t="s">
        <v>124</v>
      </c>
      <c r="B26" s="12" t="s">
        <v>125</v>
      </c>
      <c r="C26" s="12" t="s">
        <v>126</v>
      </c>
      <c r="D26" s="12" t="s">
        <v>127</v>
      </c>
      <c r="E26" s="13" t="s">
        <v>128</v>
      </c>
    </row>
    <row r="27" spans="1:5" ht="84" customHeight="1" x14ac:dyDescent="0.2">
      <c r="A27" s="11" t="s">
        <v>129</v>
      </c>
      <c r="B27" s="12" t="s">
        <v>130</v>
      </c>
      <c r="C27" s="12" t="s">
        <v>131</v>
      </c>
      <c r="D27" s="12" t="s">
        <v>132</v>
      </c>
      <c r="E27" s="13" t="s">
        <v>133</v>
      </c>
    </row>
    <row r="28" spans="1:5" ht="84" customHeight="1" x14ac:dyDescent="0.2">
      <c r="A28" s="11" t="s">
        <v>134</v>
      </c>
      <c r="B28" s="12" t="s">
        <v>135</v>
      </c>
      <c r="C28" s="12" t="s">
        <v>136</v>
      </c>
      <c r="D28" s="12" t="s">
        <v>137</v>
      </c>
      <c r="E28" s="13" t="s">
        <v>138</v>
      </c>
    </row>
    <row r="29" spans="1:5" ht="84" customHeight="1" x14ac:dyDescent="0.2">
      <c r="A29" s="11" t="s">
        <v>139</v>
      </c>
      <c r="B29" s="12" t="s">
        <v>140</v>
      </c>
      <c r="C29" s="12" t="s">
        <v>141</v>
      </c>
      <c r="D29" s="12" t="s">
        <v>142</v>
      </c>
      <c r="E29" s="13" t="s">
        <v>143</v>
      </c>
    </row>
    <row r="30" spans="1:5" ht="84" customHeight="1" x14ac:dyDescent="0.2">
      <c r="A30" s="11" t="s">
        <v>144</v>
      </c>
      <c r="B30" s="12" t="s">
        <v>145</v>
      </c>
      <c r="C30" s="12" t="s">
        <v>146</v>
      </c>
      <c r="D30" s="12" t="s">
        <v>147</v>
      </c>
      <c r="E30" s="13" t="s">
        <v>148</v>
      </c>
    </row>
    <row r="31" spans="1:5" ht="84" customHeight="1" x14ac:dyDescent="0.2">
      <c r="A31" s="11" t="s">
        <v>149</v>
      </c>
      <c r="B31" s="12" t="s">
        <v>150</v>
      </c>
      <c r="C31" s="12" t="s">
        <v>151</v>
      </c>
      <c r="D31" s="12" t="s">
        <v>152</v>
      </c>
      <c r="E31" s="13" t="s">
        <v>153</v>
      </c>
    </row>
    <row r="32" spans="1:5" ht="84" customHeight="1" x14ac:dyDescent="0.2">
      <c r="A32" s="11" t="s">
        <v>154</v>
      </c>
      <c r="B32" s="12" t="s">
        <v>155</v>
      </c>
      <c r="C32" s="12" t="s">
        <v>156</v>
      </c>
      <c r="D32" s="12" t="s">
        <v>157</v>
      </c>
      <c r="E32" s="13" t="s">
        <v>158</v>
      </c>
    </row>
    <row r="33" spans="1:5" ht="84" customHeight="1" x14ac:dyDescent="0.2">
      <c r="A33" s="11" t="s">
        <v>159</v>
      </c>
      <c r="B33" s="12" t="s">
        <v>160</v>
      </c>
      <c r="C33" s="12" t="s">
        <v>161</v>
      </c>
      <c r="D33" s="12" t="s">
        <v>162</v>
      </c>
      <c r="E33" s="13" t="s">
        <v>163</v>
      </c>
    </row>
    <row r="34" spans="1:5" ht="84" customHeight="1" x14ac:dyDescent="0.2">
      <c r="A34" s="11" t="s">
        <v>164</v>
      </c>
      <c r="B34" s="12" t="s">
        <v>165</v>
      </c>
      <c r="C34" s="12" t="s">
        <v>166</v>
      </c>
      <c r="D34" s="12" t="s">
        <v>167</v>
      </c>
      <c r="E34" s="13" t="s">
        <v>168</v>
      </c>
    </row>
    <row r="35" spans="1:5" ht="84" customHeight="1" x14ac:dyDescent="0.2">
      <c r="A35" s="11" t="s">
        <v>169</v>
      </c>
      <c r="B35" s="12" t="s">
        <v>170</v>
      </c>
      <c r="C35" s="12" t="s">
        <v>171</v>
      </c>
      <c r="D35" s="12" t="s">
        <v>172</v>
      </c>
      <c r="E35" s="13" t="s">
        <v>173</v>
      </c>
    </row>
    <row r="36" spans="1:5" ht="84" customHeight="1" x14ac:dyDescent="0.2">
      <c r="A36" s="11" t="s">
        <v>174</v>
      </c>
      <c r="B36" s="12" t="s">
        <v>175</v>
      </c>
      <c r="C36" s="12" t="s">
        <v>176</v>
      </c>
      <c r="D36" s="12" t="s">
        <v>177</v>
      </c>
      <c r="E36" s="13" t="s">
        <v>178</v>
      </c>
    </row>
    <row r="37" spans="1:5" ht="84" customHeight="1" x14ac:dyDescent="0.2">
      <c r="A37" s="11" t="s">
        <v>179</v>
      </c>
      <c r="B37" s="12" t="s">
        <v>180</v>
      </c>
      <c r="C37" s="12" t="s">
        <v>181</v>
      </c>
      <c r="D37" s="12" t="s">
        <v>182</v>
      </c>
      <c r="E37" s="13" t="s">
        <v>183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41"/>
  <sheetViews>
    <sheetView workbookViewId="0">
      <pane ySplit="1" topLeftCell="A2" activePane="bottomLeft" state="frozen"/>
      <selection pane="bottomLeft"/>
    </sheetView>
  </sheetViews>
  <sheetFormatPr baseColWidth="10" defaultColWidth="8.83203125" defaultRowHeight="15" x14ac:dyDescent="0.2"/>
  <cols>
    <col min="1" max="1" width="11" customWidth="1"/>
    <col min="2" max="2" width="34" customWidth="1"/>
    <col min="3" max="3" width="12" customWidth="1"/>
    <col min="4" max="4" width="60" customWidth="1"/>
    <col min="5" max="5" width="44" customWidth="1"/>
    <col min="6" max="6" width="11" customWidth="1"/>
    <col min="7" max="7" width="24" customWidth="1"/>
    <col min="8" max="8" width="58" customWidth="1"/>
  </cols>
  <sheetData>
    <row r="1" spans="1:8" ht="26" customHeight="1" x14ac:dyDescent="0.2">
      <c r="A1" s="1" t="s">
        <v>198</v>
      </c>
      <c r="B1" s="1" t="s">
        <v>199</v>
      </c>
      <c r="C1" s="1" t="s">
        <v>200</v>
      </c>
      <c r="D1" s="1" t="s">
        <v>201</v>
      </c>
      <c r="E1" s="1" t="s">
        <v>202</v>
      </c>
      <c r="F1" s="1" t="s">
        <v>5</v>
      </c>
      <c r="G1" s="1" t="s">
        <v>187</v>
      </c>
      <c r="H1" s="16" t="s">
        <v>203</v>
      </c>
    </row>
    <row r="2" spans="1:8" ht="44" customHeight="1" x14ac:dyDescent="0.2">
      <c r="A2" s="2" t="s">
        <v>204</v>
      </c>
      <c r="B2" s="2" t="s">
        <v>205</v>
      </c>
      <c r="C2" s="4" t="s">
        <v>206</v>
      </c>
      <c r="D2" s="4" t="s">
        <v>207</v>
      </c>
      <c r="E2" s="4" t="s">
        <v>208</v>
      </c>
      <c r="F2" s="4"/>
      <c r="G2" s="4"/>
      <c r="H2" s="4" t="s">
        <v>209</v>
      </c>
    </row>
    <row r="3" spans="1:8" ht="44" customHeight="1" x14ac:dyDescent="0.2">
      <c r="A3" s="2" t="s">
        <v>204</v>
      </c>
      <c r="B3" s="2" t="s">
        <v>210</v>
      </c>
      <c r="C3" s="4" t="s">
        <v>211</v>
      </c>
      <c r="D3" s="4" t="s">
        <v>212</v>
      </c>
      <c r="E3" s="4" t="s">
        <v>213</v>
      </c>
      <c r="F3" s="4"/>
      <c r="G3" s="4"/>
      <c r="H3" s="4" t="s">
        <v>214</v>
      </c>
    </row>
    <row r="4" spans="1:8" ht="44" customHeight="1" x14ac:dyDescent="0.2">
      <c r="A4" s="2" t="s">
        <v>204</v>
      </c>
      <c r="B4" s="2" t="s">
        <v>215</v>
      </c>
      <c r="C4" s="4" t="s">
        <v>216</v>
      </c>
      <c r="D4" s="4" t="s">
        <v>217</v>
      </c>
      <c r="E4" s="4" t="s">
        <v>218</v>
      </c>
      <c r="F4" s="4"/>
      <c r="G4" s="4"/>
      <c r="H4" s="4" t="s">
        <v>219</v>
      </c>
    </row>
    <row r="5" spans="1:8" ht="44" customHeight="1" x14ac:dyDescent="0.2">
      <c r="A5" s="2" t="s">
        <v>204</v>
      </c>
      <c r="B5" s="2" t="s">
        <v>220</v>
      </c>
      <c r="C5" s="4" t="s">
        <v>216</v>
      </c>
      <c r="D5" s="4" t="s">
        <v>221</v>
      </c>
      <c r="E5" s="4" t="s">
        <v>222</v>
      </c>
      <c r="F5" s="4"/>
      <c r="G5" s="4"/>
      <c r="H5" s="4" t="s">
        <v>223</v>
      </c>
    </row>
    <row r="6" spans="1:8" ht="44" customHeight="1" x14ac:dyDescent="0.2">
      <c r="A6" s="2" t="s">
        <v>204</v>
      </c>
      <c r="B6" s="2" t="s">
        <v>224</v>
      </c>
      <c r="C6" s="4" t="s">
        <v>216</v>
      </c>
      <c r="D6" s="4" t="s">
        <v>225</v>
      </c>
      <c r="E6" s="4" t="s">
        <v>226</v>
      </c>
      <c r="F6" s="4"/>
      <c r="G6" s="4"/>
      <c r="H6" s="4" t="s">
        <v>227</v>
      </c>
    </row>
    <row r="7" spans="1:8" ht="44" customHeight="1" x14ac:dyDescent="0.2">
      <c r="A7" s="2" t="s">
        <v>204</v>
      </c>
      <c r="B7" s="2" t="s">
        <v>228</v>
      </c>
      <c r="C7" s="4" t="s">
        <v>216</v>
      </c>
      <c r="D7" s="4" t="s">
        <v>229</v>
      </c>
      <c r="E7" s="4" t="s">
        <v>230</v>
      </c>
      <c r="F7" s="4"/>
      <c r="G7" s="4"/>
      <c r="H7" s="4" t="s">
        <v>231</v>
      </c>
    </row>
    <row r="8" spans="1:8" ht="44" customHeight="1" x14ac:dyDescent="0.2">
      <c r="A8" s="2" t="s">
        <v>204</v>
      </c>
      <c r="B8" s="2" t="s">
        <v>232</v>
      </c>
      <c r="C8" s="4" t="s">
        <v>216</v>
      </c>
      <c r="D8" s="4" t="s">
        <v>233</v>
      </c>
      <c r="E8" s="4" t="s">
        <v>234</v>
      </c>
      <c r="F8" s="4"/>
      <c r="G8" s="4"/>
      <c r="H8" s="4" t="s">
        <v>235</v>
      </c>
    </row>
    <row r="9" spans="1:8" ht="44" customHeight="1" x14ac:dyDescent="0.2">
      <c r="A9" s="2" t="s">
        <v>204</v>
      </c>
      <c r="B9" s="2" t="s">
        <v>236</v>
      </c>
      <c r="C9" s="4" t="s">
        <v>216</v>
      </c>
      <c r="D9" s="4" t="s">
        <v>237</v>
      </c>
      <c r="E9" s="4" t="s">
        <v>238</v>
      </c>
      <c r="F9" s="4"/>
      <c r="G9" s="4"/>
      <c r="H9" s="4" t="s">
        <v>239</v>
      </c>
    </row>
    <row r="10" spans="1:8" ht="44" customHeight="1" x14ac:dyDescent="0.2">
      <c r="A10" s="2" t="s">
        <v>204</v>
      </c>
      <c r="B10" s="2" t="s">
        <v>240</v>
      </c>
      <c r="C10" s="4" t="s">
        <v>206</v>
      </c>
      <c r="D10" s="4" t="s">
        <v>241</v>
      </c>
      <c r="E10" s="4" t="s">
        <v>242</v>
      </c>
      <c r="F10" s="4"/>
      <c r="G10" s="4"/>
      <c r="H10" s="4" t="s">
        <v>243</v>
      </c>
    </row>
    <row r="11" spans="1:8" ht="44" customHeight="1" x14ac:dyDescent="0.2">
      <c r="A11" s="2" t="s">
        <v>244</v>
      </c>
      <c r="B11" s="2" t="s">
        <v>245</v>
      </c>
      <c r="C11" s="4" t="s">
        <v>216</v>
      </c>
      <c r="D11" s="4" t="s">
        <v>246</v>
      </c>
      <c r="E11" s="4" t="s">
        <v>247</v>
      </c>
      <c r="F11" s="4"/>
      <c r="G11" s="4"/>
      <c r="H11" s="4" t="s">
        <v>248</v>
      </c>
    </row>
    <row r="12" spans="1:8" ht="44" customHeight="1" x14ac:dyDescent="0.2">
      <c r="A12" s="2" t="s">
        <v>244</v>
      </c>
      <c r="B12" s="2" t="s">
        <v>249</v>
      </c>
      <c r="C12" s="4" t="s">
        <v>216</v>
      </c>
      <c r="D12" s="4" t="s">
        <v>250</v>
      </c>
      <c r="E12" s="4" t="s">
        <v>251</v>
      </c>
      <c r="F12" s="4"/>
      <c r="G12" s="4"/>
      <c r="H12" s="4" t="s">
        <v>252</v>
      </c>
    </row>
    <row r="13" spans="1:8" ht="44" customHeight="1" x14ac:dyDescent="0.2">
      <c r="A13" s="2" t="s">
        <v>244</v>
      </c>
      <c r="B13" s="2" t="s">
        <v>253</v>
      </c>
      <c r="C13" s="4" t="s">
        <v>216</v>
      </c>
      <c r="D13" s="4" t="s">
        <v>254</v>
      </c>
      <c r="E13" s="4" t="s">
        <v>255</v>
      </c>
      <c r="F13" s="4"/>
      <c r="G13" s="4"/>
      <c r="H13" s="4" t="s">
        <v>256</v>
      </c>
    </row>
    <row r="14" spans="1:8" ht="44" customHeight="1" x14ac:dyDescent="0.2">
      <c r="A14" s="2" t="s">
        <v>244</v>
      </c>
      <c r="B14" s="2" t="s">
        <v>257</v>
      </c>
      <c r="C14" s="4" t="s">
        <v>216</v>
      </c>
      <c r="D14" s="4" t="s">
        <v>258</v>
      </c>
      <c r="E14" s="4" t="s">
        <v>259</v>
      </c>
      <c r="F14" s="4"/>
      <c r="G14" s="4"/>
      <c r="H14" s="4" t="s">
        <v>260</v>
      </c>
    </row>
    <row r="15" spans="1:8" ht="44" customHeight="1" x14ac:dyDescent="0.2">
      <c r="A15" s="2" t="s">
        <v>244</v>
      </c>
      <c r="B15" s="2" t="s">
        <v>261</v>
      </c>
      <c r="C15" s="4" t="s">
        <v>216</v>
      </c>
      <c r="D15" s="4" t="s">
        <v>262</v>
      </c>
      <c r="E15" s="4" t="s">
        <v>263</v>
      </c>
      <c r="F15" s="4"/>
      <c r="G15" s="4"/>
      <c r="H15" s="4" t="s">
        <v>264</v>
      </c>
    </row>
    <row r="16" spans="1:8" ht="44" customHeight="1" x14ac:dyDescent="0.2">
      <c r="A16" s="2" t="s">
        <v>244</v>
      </c>
      <c r="B16" s="2" t="s">
        <v>265</v>
      </c>
      <c r="C16" s="4" t="s">
        <v>216</v>
      </c>
      <c r="D16" s="4" t="s">
        <v>266</v>
      </c>
      <c r="E16" s="4" t="s">
        <v>267</v>
      </c>
      <c r="F16" s="4"/>
      <c r="G16" s="4"/>
      <c r="H16" s="4" t="s">
        <v>268</v>
      </c>
    </row>
    <row r="17" spans="1:8" ht="44" customHeight="1" x14ac:dyDescent="0.2">
      <c r="A17" s="2" t="s">
        <v>244</v>
      </c>
      <c r="B17" s="2" t="s">
        <v>269</v>
      </c>
      <c r="C17" s="4" t="s">
        <v>216</v>
      </c>
      <c r="D17" s="4" t="s">
        <v>270</v>
      </c>
      <c r="E17" s="4" t="s">
        <v>271</v>
      </c>
      <c r="F17" s="4"/>
      <c r="G17" s="4"/>
      <c r="H17" s="4" t="s">
        <v>268</v>
      </c>
    </row>
    <row r="18" spans="1:8" ht="44" customHeight="1" x14ac:dyDescent="0.2">
      <c r="A18" s="2" t="s">
        <v>272</v>
      </c>
      <c r="B18" s="2" t="s">
        <v>273</v>
      </c>
      <c r="C18" s="4" t="s">
        <v>206</v>
      </c>
      <c r="D18" s="4" t="s">
        <v>274</v>
      </c>
      <c r="E18" s="4" t="s">
        <v>275</v>
      </c>
      <c r="F18" s="4"/>
      <c r="G18" s="4"/>
      <c r="H18" s="4" t="s">
        <v>276</v>
      </c>
    </row>
    <row r="19" spans="1:8" ht="44" customHeight="1" x14ac:dyDescent="0.2">
      <c r="A19" s="2" t="s">
        <v>272</v>
      </c>
      <c r="B19" s="2" t="s">
        <v>277</v>
      </c>
      <c r="C19" s="4" t="s">
        <v>216</v>
      </c>
      <c r="D19" s="4" t="s">
        <v>278</v>
      </c>
      <c r="E19" s="4" t="s">
        <v>279</v>
      </c>
      <c r="F19" s="4"/>
      <c r="G19" s="4"/>
      <c r="H19" s="4" t="s">
        <v>280</v>
      </c>
    </row>
    <row r="20" spans="1:8" ht="44" customHeight="1" x14ac:dyDescent="0.2">
      <c r="A20" s="2" t="s">
        <v>272</v>
      </c>
      <c r="B20" s="2" t="s">
        <v>281</v>
      </c>
      <c r="C20" s="4" t="s">
        <v>216</v>
      </c>
      <c r="D20" s="4" t="s">
        <v>282</v>
      </c>
      <c r="E20" s="4" t="s">
        <v>283</v>
      </c>
      <c r="F20" s="4"/>
      <c r="G20" s="4"/>
      <c r="H20" s="4" t="s">
        <v>284</v>
      </c>
    </row>
    <row r="21" spans="1:8" ht="44" customHeight="1" x14ac:dyDescent="0.2">
      <c r="A21" s="2" t="s">
        <v>272</v>
      </c>
      <c r="B21" s="2" t="s">
        <v>285</v>
      </c>
      <c r="C21" s="4" t="s">
        <v>216</v>
      </c>
      <c r="D21" s="4" t="s">
        <v>286</v>
      </c>
      <c r="E21" s="4" t="s">
        <v>287</v>
      </c>
      <c r="F21" s="4"/>
      <c r="G21" s="4"/>
      <c r="H21" s="4" t="s">
        <v>288</v>
      </c>
    </row>
    <row r="22" spans="1:8" ht="44" customHeight="1" x14ac:dyDescent="0.2">
      <c r="A22" s="2" t="s">
        <v>272</v>
      </c>
      <c r="B22" s="2" t="s">
        <v>289</v>
      </c>
      <c r="C22" s="4" t="s">
        <v>216</v>
      </c>
      <c r="D22" s="4" t="s">
        <v>290</v>
      </c>
      <c r="E22" s="4" t="s">
        <v>291</v>
      </c>
      <c r="F22" s="4"/>
      <c r="G22" s="4"/>
      <c r="H22" s="4" t="s">
        <v>292</v>
      </c>
    </row>
    <row r="23" spans="1:8" ht="44" customHeight="1" x14ac:dyDescent="0.2">
      <c r="A23" s="2" t="s">
        <v>272</v>
      </c>
      <c r="B23" s="2" t="s">
        <v>293</v>
      </c>
      <c r="C23" s="4" t="s">
        <v>216</v>
      </c>
      <c r="D23" s="4" t="s">
        <v>294</v>
      </c>
      <c r="E23" s="4" t="s">
        <v>295</v>
      </c>
      <c r="F23" s="4"/>
      <c r="G23" s="4"/>
      <c r="H23" s="4" t="s">
        <v>296</v>
      </c>
    </row>
    <row r="24" spans="1:8" ht="44" customHeight="1" x14ac:dyDescent="0.2">
      <c r="A24" s="2" t="s">
        <v>272</v>
      </c>
      <c r="B24" s="2" t="s">
        <v>297</v>
      </c>
      <c r="C24" s="4" t="s">
        <v>216</v>
      </c>
      <c r="D24" s="4" t="s">
        <v>298</v>
      </c>
      <c r="E24" s="4" t="s">
        <v>299</v>
      </c>
      <c r="F24" s="4"/>
      <c r="G24" s="4"/>
      <c r="H24" s="4" t="s">
        <v>268</v>
      </c>
    </row>
    <row r="25" spans="1:8" ht="44" customHeight="1" x14ac:dyDescent="0.2">
      <c r="A25" s="2" t="s">
        <v>272</v>
      </c>
      <c r="B25" s="2" t="s">
        <v>300</v>
      </c>
      <c r="C25" s="4" t="s">
        <v>216</v>
      </c>
      <c r="D25" s="4" t="s">
        <v>301</v>
      </c>
      <c r="E25" s="4" t="s">
        <v>302</v>
      </c>
      <c r="F25" s="4"/>
      <c r="G25" s="4"/>
      <c r="H25" s="4" t="s">
        <v>303</v>
      </c>
    </row>
    <row r="26" spans="1:8" ht="44" customHeight="1" x14ac:dyDescent="0.2">
      <c r="A26" s="2" t="s">
        <v>304</v>
      </c>
      <c r="B26" s="2" t="s">
        <v>305</v>
      </c>
      <c r="C26" s="4" t="s">
        <v>306</v>
      </c>
      <c r="D26" s="4" t="s">
        <v>307</v>
      </c>
      <c r="E26" s="4" t="s">
        <v>308</v>
      </c>
      <c r="F26" s="4"/>
      <c r="G26" s="4"/>
      <c r="H26" s="4" t="s">
        <v>309</v>
      </c>
    </row>
    <row r="27" spans="1:8" ht="44" customHeight="1" x14ac:dyDescent="0.2">
      <c r="A27" s="2" t="s">
        <v>304</v>
      </c>
      <c r="B27" s="2" t="s">
        <v>310</v>
      </c>
      <c r="C27" s="4" t="s">
        <v>311</v>
      </c>
      <c r="D27" s="4" t="s">
        <v>312</v>
      </c>
      <c r="E27" s="4" t="s">
        <v>313</v>
      </c>
      <c r="F27" s="4"/>
      <c r="G27" s="4"/>
      <c r="H27" s="4" t="s">
        <v>314</v>
      </c>
    </row>
    <row r="28" spans="1:8" ht="44" customHeight="1" x14ac:dyDescent="0.2">
      <c r="A28" s="2" t="s">
        <v>304</v>
      </c>
      <c r="B28" s="2" t="s">
        <v>315</v>
      </c>
      <c r="C28" s="4" t="s">
        <v>316</v>
      </c>
      <c r="D28" s="4" t="s">
        <v>317</v>
      </c>
      <c r="E28" s="4" t="s">
        <v>318</v>
      </c>
      <c r="F28" s="4"/>
      <c r="G28" s="4"/>
      <c r="H28" s="4" t="s">
        <v>319</v>
      </c>
    </row>
    <row r="29" spans="1:8" ht="44" customHeight="1" x14ac:dyDescent="0.2">
      <c r="A29" s="2" t="s">
        <v>304</v>
      </c>
      <c r="B29" s="2" t="s">
        <v>320</v>
      </c>
      <c r="C29" s="4" t="s">
        <v>321</v>
      </c>
      <c r="D29" s="4" t="s">
        <v>322</v>
      </c>
      <c r="E29" s="4" t="s">
        <v>323</v>
      </c>
      <c r="F29" s="4"/>
      <c r="G29" s="4"/>
      <c r="H29" s="4" t="s">
        <v>324</v>
      </c>
    </row>
    <row r="30" spans="1:8" ht="44" customHeight="1" x14ac:dyDescent="0.2">
      <c r="A30" s="2" t="s">
        <v>304</v>
      </c>
      <c r="B30" s="2" t="s">
        <v>325</v>
      </c>
      <c r="C30" s="4" t="s">
        <v>326</v>
      </c>
      <c r="D30" s="4" t="s">
        <v>327</v>
      </c>
      <c r="E30" s="4" t="s">
        <v>328</v>
      </c>
      <c r="F30" s="4"/>
      <c r="G30" s="4"/>
      <c r="H30" s="4" t="s">
        <v>329</v>
      </c>
    </row>
    <row r="31" spans="1:8" ht="44" customHeight="1" x14ac:dyDescent="0.2">
      <c r="A31" s="2" t="s">
        <v>304</v>
      </c>
      <c r="B31" s="2" t="s">
        <v>330</v>
      </c>
      <c r="C31" s="4" t="s">
        <v>211</v>
      </c>
      <c r="D31" s="4" t="s">
        <v>331</v>
      </c>
      <c r="E31" s="4" t="s">
        <v>332</v>
      </c>
      <c r="F31" s="4"/>
      <c r="G31" s="4"/>
      <c r="H31" s="4" t="s">
        <v>333</v>
      </c>
    </row>
    <row r="32" spans="1:8" ht="44" customHeight="1" x14ac:dyDescent="0.2">
      <c r="A32" s="2" t="s">
        <v>334</v>
      </c>
      <c r="B32" s="2" t="s">
        <v>335</v>
      </c>
      <c r="C32" s="4" t="s">
        <v>216</v>
      </c>
      <c r="D32" s="4" t="s">
        <v>336</v>
      </c>
      <c r="E32" s="4" t="s">
        <v>337</v>
      </c>
      <c r="F32" s="4"/>
      <c r="G32" s="4"/>
      <c r="H32" s="4" t="s">
        <v>338</v>
      </c>
    </row>
    <row r="33" spans="1:8" ht="44" customHeight="1" x14ac:dyDescent="0.2">
      <c r="A33" s="2" t="s">
        <v>334</v>
      </c>
      <c r="B33" s="2" t="s">
        <v>339</v>
      </c>
      <c r="C33" s="4" t="s">
        <v>216</v>
      </c>
      <c r="D33" s="4" t="s">
        <v>340</v>
      </c>
      <c r="E33" s="4" t="s">
        <v>341</v>
      </c>
      <c r="F33" s="4"/>
      <c r="G33" s="4"/>
      <c r="H33" s="4" t="s">
        <v>342</v>
      </c>
    </row>
    <row r="34" spans="1:8" ht="44" customHeight="1" x14ac:dyDescent="0.2">
      <c r="A34" s="2" t="s">
        <v>334</v>
      </c>
      <c r="B34" s="2" t="s">
        <v>343</v>
      </c>
      <c r="C34" s="4" t="s">
        <v>216</v>
      </c>
      <c r="D34" s="4" t="s">
        <v>344</v>
      </c>
      <c r="E34" s="4" t="s">
        <v>345</v>
      </c>
      <c r="F34" s="4"/>
      <c r="G34" s="4"/>
      <c r="H34" s="4" t="s">
        <v>346</v>
      </c>
    </row>
    <row r="35" spans="1:8" ht="44" customHeight="1" x14ac:dyDescent="0.2">
      <c r="A35" s="2" t="s">
        <v>334</v>
      </c>
      <c r="B35" s="2" t="s">
        <v>347</v>
      </c>
      <c r="C35" s="4" t="s">
        <v>216</v>
      </c>
      <c r="D35" s="4" t="s">
        <v>348</v>
      </c>
      <c r="E35" s="4" t="s">
        <v>349</v>
      </c>
      <c r="F35" s="4"/>
      <c r="G35" s="4"/>
      <c r="H35" s="4" t="s">
        <v>350</v>
      </c>
    </row>
    <row r="36" spans="1:8" ht="44" customHeight="1" x14ac:dyDescent="0.2">
      <c r="A36" s="2" t="s">
        <v>334</v>
      </c>
      <c r="B36" s="2" t="s">
        <v>351</v>
      </c>
      <c r="C36" s="4" t="s">
        <v>216</v>
      </c>
      <c r="D36" s="4" t="s">
        <v>352</v>
      </c>
      <c r="E36" s="4" t="s">
        <v>353</v>
      </c>
      <c r="F36" s="4"/>
      <c r="G36" s="4"/>
      <c r="H36" s="4" t="s">
        <v>354</v>
      </c>
    </row>
    <row r="37" spans="1:8" ht="44" customHeight="1" x14ac:dyDescent="0.2">
      <c r="A37" s="2" t="s">
        <v>334</v>
      </c>
      <c r="B37" s="2" t="s">
        <v>355</v>
      </c>
      <c r="C37" s="4" t="s">
        <v>216</v>
      </c>
      <c r="D37" s="4" t="s">
        <v>356</v>
      </c>
      <c r="E37" s="4" t="s">
        <v>357</v>
      </c>
      <c r="F37" s="4"/>
      <c r="G37" s="4"/>
      <c r="H37" s="4" t="s">
        <v>358</v>
      </c>
    </row>
    <row r="38" spans="1:8" ht="44" customHeight="1" x14ac:dyDescent="0.2">
      <c r="A38" s="2" t="s">
        <v>334</v>
      </c>
      <c r="B38" s="2" t="s">
        <v>359</v>
      </c>
      <c r="C38" s="4" t="s">
        <v>216</v>
      </c>
      <c r="D38" s="4" t="s">
        <v>360</v>
      </c>
      <c r="E38" s="4" t="s">
        <v>361</v>
      </c>
      <c r="F38" s="4"/>
      <c r="G38" s="4"/>
      <c r="H38" s="4" t="s">
        <v>362</v>
      </c>
    </row>
    <row r="39" spans="1:8" ht="32" customHeight="1" x14ac:dyDescent="0.2">
      <c r="A39" s="2" t="s">
        <v>204</v>
      </c>
      <c r="B39" s="2" t="s">
        <v>363</v>
      </c>
      <c r="C39" s="4" t="s">
        <v>216</v>
      </c>
      <c r="D39" s="4" t="s">
        <v>364</v>
      </c>
      <c r="E39" s="4" t="s">
        <v>365</v>
      </c>
      <c r="F39" s="4"/>
      <c r="G39" s="4"/>
      <c r="H39" s="4" t="s">
        <v>366</v>
      </c>
    </row>
    <row r="40" spans="1:8" ht="32" customHeight="1" x14ac:dyDescent="0.2">
      <c r="A40" s="2" t="s">
        <v>244</v>
      </c>
      <c r="B40" s="2" t="s">
        <v>367</v>
      </c>
      <c r="C40" s="4" t="s">
        <v>216</v>
      </c>
      <c r="D40" s="4" t="s">
        <v>368</v>
      </c>
      <c r="E40" s="4" t="s">
        <v>369</v>
      </c>
      <c r="F40" s="4"/>
      <c r="G40" s="4"/>
      <c r="H40" s="4" t="s">
        <v>370</v>
      </c>
    </row>
    <row r="41" spans="1:8" ht="32" customHeight="1" x14ac:dyDescent="0.2">
      <c r="A41" s="2" t="s">
        <v>304</v>
      </c>
      <c r="B41" s="2" t="s">
        <v>371</v>
      </c>
      <c r="C41" s="4" t="s">
        <v>216</v>
      </c>
      <c r="D41" s="4" t="s">
        <v>372</v>
      </c>
      <c r="E41" s="4" t="s">
        <v>373</v>
      </c>
      <c r="F41" s="4"/>
      <c r="G41" s="4"/>
      <c r="H41" s="4" t="s">
        <v>374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91"/>
  <sheetViews>
    <sheetView zoomScale="119" workbookViewId="0">
      <pane ySplit="1" topLeftCell="A3" activePane="bottomLeft" state="frozen"/>
      <selection pane="bottomLeft" activeCell="G76" sqref="G76"/>
    </sheetView>
  </sheetViews>
  <sheetFormatPr baseColWidth="10" defaultColWidth="8.83203125" defaultRowHeight="15" x14ac:dyDescent="0.2"/>
  <cols>
    <col min="1" max="1" width="30" customWidth="1"/>
    <col min="2" max="2" width="58" customWidth="1"/>
    <col min="3" max="3" width="42" customWidth="1"/>
    <col min="4" max="4" width="30" customWidth="1"/>
    <col min="5" max="5" width="32" customWidth="1"/>
    <col min="6" max="6" width="11" customWidth="1"/>
    <col min="7" max="7" width="24" customWidth="1"/>
  </cols>
  <sheetData>
    <row r="1" spans="1:7" ht="26" customHeight="1" x14ac:dyDescent="0.2">
      <c r="A1" s="1" t="s">
        <v>375</v>
      </c>
      <c r="B1" s="1" t="s">
        <v>376</v>
      </c>
      <c r="C1" s="1" t="s">
        <v>377</v>
      </c>
      <c r="D1" s="1" t="s">
        <v>378</v>
      </c>
      <c r="E1" s="1" t="s">
        <v>379</v>
      </c>
      <c r="F1" s="1" t="s">
        <v>5</v>
      </c>
      <c r="G1" s="1" t="s">
        <v>187</v>
      </c>
    </row>
    <row r="2" spans="1:7" ht="46" customHeight="1" x14ac:dyDescent="0.2">
      <c r="A2" s="5" t="s">
        <v>380</v>
      </c>
      <c r="B2" s="6" t="s">
        <v>381</v>
      </c>
      <c r="C2" s="7"/>
      <c r="D2" s="7"/>
      <c r="E2" s="7"/>
      <c r="F2" s="7"/>
      <c r="G2" s="7"/>
    </row>
    <row r="3" spans="1:7" ht="350" customHeight="1" x14ac:dyDescent="0.2">
      <c r="A3" s="8" t="s">
        <v>382</v>
      </c>
      <c r="B3" s="9" t="s">
        <v>383</v>
      </c>
      <c r="C3" s="3" t="s">
        <v>384</v>
      </c>
      <c r="D3" s="3" t="s">
        <v>385</v>
      </c>
      <c r="E3" s="3" t="s">
        <v>386</v>
      </c>
      <c r="G3" s="3"/>
    </row>
    <row r="4" spans="1:7" ht="46" customHeight="1" x14ac:dyDescent="0.2">
      <c r="A4" s="3" t="s">
        <v>387</v>
      </c>
      <c r="B4" s="3" t="s">
        <v>388</v>
      </c>
      <c r="C4" s="3" t="s">
        <v>389</v>
      </c>
      <c r="D4" s="3" t="s">
        <v>390</v>
      </c>
      <c r="E4" s="3" t="s">
        <v>391</v>
      </c>
    </row>
    <row r="5" spans="1:7" ht="46" customHeight="1" x14ac:dyDescent="0.2">
      <c r="A5" s="3" t="s">
        <v>392</v>
      </c>
      <c r="B5" s="3" t="s">
        <v>393</v>
      </c>
      <c r="C5" s="3" t="s">
        <v>394</v>
      </c>
      <c r="D5" s="3" t="s">
        <v>395</v>
      </c>
      <c r="E5" s="3" t="s">
        <v>396</v>
      </c>
    </row>
    <row r="6" spans="1:7" ht="46" customHeight="1" x14ac:dyDescent="0.2">
      <c r="A6" s="3" t="s">
        <v>397</v>
      </c>
      <c r="B6" s="3" t="s">
        <v>398</v>
      </c>
      <c r="C6" s="3" t="s">
        <v>399</v>
      </c>
      <c r="D6" s="3" t="s">
        <v>400</v>
      </c>
      <c r="E6" s="3" t="s">
        <v>401</v>
      </c>
    </row>
    <row r="7" spans="1:7" ht="46" customHeight="1" x14ac:dyDescent="0.2">
      <c r="A7" s="3" t="s">
        <v>402</v>
      </c>
      <c r="B7" s="3" t="s">
        <v>403</v>
      </c>
      <c r="C7" s="3" t="s">
        <v>404</v>
      </c>
      <c r="D7" s="3" t="s">
        <v>405</v>
      </c>
      <c r="E7" s="3" t="s">
        <v>406</v>
      </c>
      <c r="G7" s="3"/>
    </row>
    <row r="8" spans="1:7" ht="46" customHeight="1" x14ac:dyDescent="0.2">
      <c r="A8" s="3" t="s">
        <v>407</v>
      </c>
      <c r="B8" s="3" t="s">
        <v>408</v>
      </c>
      <c r="C8" s="3" t="s">
        <v>409</v>
      </c>
      <c r="D8" s="3" t="s">
        <v>410</v>
      </c>
      <c r="E8" s="3" t="s">
        <v>411</v>
      </c>
    </row>
    <row r="9" spans="1:7" ht="46" customHeight="1" x14ac:dyDescent="0.2">
      <c r="A9" s="3" t="s">
        <v>412</v>
      </c>
      <c r="B9" s="3" t="s">
        <v>413</v>
      </c>
      <c r="C9" s="3" t="s">
        <v>414</v>
      </c>
      <c r="D9" s="3" t="s">
        <v>415</v>
      </c>
      <c r="E9" s="3" t="s">
        <v>416</v>
      </c>
      <c r="G9" s="3"/>
    </row>
    <row r="10" spans="1:7" ht="46" customHeight="1" x14ac:dyDescent="0.2">
      <c r="A10" s="3" t="s">
        <v>417</v>
      </c>
      <c r="B10" s="3" t="s">
        <v>418</v>
      </c>
      <c r="C10" s="3" t="s">
        <v>419</v>
      </c>
      <c r="D10" s="3" t="s">
        <v>420</v>
      </c>
      <c r="E10" s="3" t="s">
        <v>421</v>
      </c>
    </row>
    <row r="11" spans="1:7" ht="46" customHeight="1" x14ac:dyDescent="0.2">
      <c r="A11" s="3" t="s">
        <v>422</v>
      </c>
      <c r="B11" s="3" t="s">
        <v>423</v>
      </c>
      <c r="C11" s="3" t="s">
        <v>424</v>
      </c>
      <c r="D11" s="3" t="s">
        <v>425</v>
      </c>
      <c r="E11" s="3" t="s">
        <v>426</v>
      </c>
    </row>
    <row r="12" spans="1:7" ht="46" customHeight="1" x14ac:dyDescent="0.2">
      <c r="A12" s="3" t="s">
        <v>427</v>
      </c>
      <c r="B12" s="3" t="s">
        <v>428</v>
      </c>
      <c r="C12" s="3" t="s">
        <v>429</v>
      </c>
      <c r="D12" s="3" t="s">
        <v>430</v>
      </c>
      <c r="E12" s="3" t="s">
        <v>431</v>
      </c>
    </row>
    <row r="13" spans="1:7" ht="46" customHeight="1" x14ac:dyDescent="0.2">
      <c r="A13" s="3" t="s">
        <v>432</v>
      </c>
      <c r="B13" s="3" t="s">
        <v>433</v>
      </c>
      <c r="C13" s="3" t="s">
        <v>434</v>
      </c>
      <c r="D13" s="3" t="s">
        <v>435</v>
      </c>
      <c r="E13" s="3" t="s">
        <v>436</v>
      </c>
    </row>
    <row r="14" spans="1:7" ht="46" customHeight="1" x14ac:dyDescent="0.2">
      <c r="A14" s="3" t="s">
        <v>437</v>
      </c>
      <c r="B14" s="3" t="s">
        <v>438</v>
      </c>
      <c r="C14" s="3" t="s">
        <v>439</v>
      </c>
      <c r="D14" s="3" t="s">
        <v>440</v>
      </c>
      <c r="E14" s="3" t="s">
        <v>441</v>
      </c>
    </row>
    <row r="15" spans="1:7" ht="46" customHeight="1" x14ac:dyDescent="0.2">
      <c r="A15" s="3" t="s">
        <v>442</v>
      </c>
      <c r="B15" s="3" t="s">
        <v>443</v>
      </c>
      <c r="C15" s="3" t="s">
        <v>444</v>
      </c>
      <c r="D15" s="3" t="s">
        <v>445</v>
      </c>
      <c r="E15" s="3" t="s">
        <v>446</v>
      </c>
    </row>
    <row r="16" spans="1:7" ht="46" customHeight="1" x14ac:dyDescent="0.2">
      <c r="A16" s="3" t="s">
        <v>447</v>
      </c>
      <c r="B16" s="3" t="s">
        <v>448</v>
      </c>
      <c r="C16" s="3" t="s">
        <v>449</v>
      </c>
      <c r="D16" s="3" t="s">
        <v>450</v>
      </c>
      <c r="E16" s="3" t="s">
        <v>451</v>
      </c>
    </row>
    <row r="17" spans="1:7" ht="46" customHeight="1" x14ac:dyDescent="0.2">
      <c r="A17" s="3" t="s">
        <v>452</v>
      </c>
      <c r="B17" s="3" t="s">
        <v>453</v>
      </c>
      <c r="C17" s="3" t="s">
        <v>454</v>
      </c>
      <c r="D17" s="3" t="s">
        <v>455</v>
      </c>
      <c r="E17" s="3" t="s">
        <v>456</v>
      </c>
    </row>
    <row r="18" spans="1:7" ht="64" customHeight="1" x14ac:dyDescent="0.2">
      <c r="A18" s="3" t="s">
        <v>457</v>
      </c>
      <c r="B18" s="3" t="s">
        <v>458</v>
      </c>
      <c r="C18" s="3" t="s">
        <v>459</v>
      </c>
      <c r="D18" s="3" t="s">
        <v>400</v>
      </c>
      <c r="E18" s="3" t="s">
        <v>460</v>
      </c>
    </row>
    <row r="19" spans="1:7" ht="64" customHeight="1" x14ac:dyDescent="0.2">
      <c r="A19" s="3" t="s">
        <v>461</v>
      </c>
      <c r="B19" s="3" t="s">
        <v>462</v>
      </c>
      <c r="C19" s="3" t="s">
        <v>463</v>
      </c>
      <c r="D19" s="3" t="s">
        <v>464</v>
      </c>
      <c r="E19" s="3" t="s">
        <v>465</v>
      </c>
    </row>
    <row r="20" spans="1:7" ht="46" customHeight="1" x14ac:dyDescent="0.2">
      <c r="A20" s="2" t="s">
        <v>466</v>
      </c>
      <c r="B20" s="3" t="s">
        <v>467</v>
      </c>
      <c r="C20" s="4"/>
      <c r="D20" s="4"/>
      <c r="E20" s="4"/>
    </row>
    <row r="21" spans="1:7" ht="375" customHeight="1" x14ac:dyDescent="0.2"/>
    <row r="22" spans="1:7" ht="46" customHeight="1" x14ac:dyDescent="0.2">
      <c r="A22" s="5" t="s">
        <v>468</v>
      </c>
      <c r="B22" s="6" t="s">
        <v>212</v>
      </c>
      <c r="C22" s="7"/>
      <c r="D22" s="7"/>
      <c r="E22" s="7"/>
      <c r="F22" s="7"/>
      <c r="G22" s="7"/>
    </row>
    <row r="23" spans="1:7" ht="46" customHeight="1" x14ac:dyDescent="0.2">
      <c r="A23" s="8" t="s">
        <v>382</v>
      </c>
      <c r="B23" s="9" t="s">
        <v>469</v>
      </c>
      <c r="C23" s="3" t="s">
        <v>470</v>
      </c>
      <c r="D23" s="3" t="s">
        <v>471</v>
      </c>
      <c r="E23" s="3" t="s">
        <v>472</v>
      </c>
      <c r="G23" s="3"/>
    </row>
    <row r="24" spans="1:7" ht="46" customHeight="1" x14ac:dyDescent="0.2">
      <c r="A24" s="3" t="s">
        <v>473</v>
      </c>
      <c r="B24" s="3" t="s">
        <v>474</v>
      </c>
      <c r="C24" s="3" t="s">
        <v>475</v>
      </c>
      <c r="D24" s="3" t="s">
        <v>476</v>
      </c>
      <c r="E24" s="3" t="s">
        <v>477</v>
      </c>
    </row>
    <row r="25" spans="1:7" ht="46" customHeight="1" x14ac:dyDescent="0.2">
      <c r="A25" s="3" t="s">
        <v>478</v>
      </c>
      <c r="B25" s="3" t="s">
        <v>479</v>
      </c>
      <c r="C25" s="3" t="s">
        <v>480</v>
      </c>
      <c r="D25" s="3" t="s">
        <v>481</v>
      </c>
      <c r="E25" s="3" t="s">
        <v>482</v>
      </c>
    </row>
    <row r="26" spans="1:7" ht="46" customHeight="1" x14ac:dyDescent="0.2">
      <c r="A26" s="3" t="s">
        <v>483</v>
      </c>
      <c r="B26" s="3" t="s">
        <v>484</v>
      </c>
      <c r="C26" s="3" t="s">
        <v>485</v>
      </c>
      <c r="D26" s="3" t="s">
        <v>486</v>
      </c>
      <c r="E26" s="3" t="s">
        <v>487</v>
      </c>
      <c r="G26" s="3"/>
    </row>
    <row r="27" spans="1:7" ht="46" customHeight="1" x14ac:dyDescent="0.2">
      <c r="A27" s="3" t="s">
        <v>488</v>
      </c>
      <c r="B27" s="3" t="s">
        <v>489</v>
      </c>
      <c r="C27" s="3" t="s">
        <v>490</v>
      </c>
      <c r="D27" s="3" t="s">
        <v>491</v>
      </c>
      <c r="E27" s="3" t="s">
        <v>492</v>
      </c>
    </row>
    <row r="28" spans="1:7" ht="46" customHeight="1" x14ac:dyDescent="0.2">
      <c r="A28" s="3" t="s">
        <v>493</v>
      </c>
      <c r="B28" s="3" t="s">
        <v>494</v>
      </c>
      <c r="C28" s="3" t="s">
        <v>495</v>
      </c>
      <c r="D28" s="3" t="s">
        <v>496</v>
      </c>
      <c r="E28" s="3" t="s">
        <v>401</v>
      </c>
    </row>
    <row r="29" spans="1:7" ht="46" customHeight="1" x14ac:dyDescent="0.2">
      <c r="A29" s="3" t="s">
        <v>497</v>
      </c>
      <c r="B29" s="3" t="s">
        <v>498</v>
      </c>
      <c r="C29" s="3" t="s">
        <v>499</v>
      </c>
      <c r="D29" s="3" t="s">
        <v>500</v>
      </c>
      <c r="E29" s="3" t="s">
        <v>501</v>
      </c>
    </row>
    <row r="30" spans="1:7" ht="46" customHeight="1" x14ac:dyDescent="0.2">
      <c r="A30" s="3" t="s">
        <v>502</v>
      </c>
      <c r="B30" s="3" t="s">
        <v>503</v>
      </c>
      <c r="C30" s="3" t="s">
        <v>504</v>
      </c>
      <c r="D30" s="3" t="s">
        <v>505</v>
      </c>
      <c r="E30" s="3" t="s">
        <v>506</v>
      </c>
    </row>
    <row r="31" spans="1:7" ht="46" customHeight="1" x14ac:dyDescent="0.2">
      <c r="A31" s="3" t="s">
        <v>447</v>
      </c>
      <c r="B31" s="3" t="s">
        <v>507</v>
      </c>
      <c r="C31" s="3" t="s">
        <v>508</v>
      </c>
      <c r="D31" s="3" t="s">
        <v>509</v>
      </c>
      <c r="E31" s="3" t="s">
        <v>510</v>
      </c>
    </row>
    <row r="32" spans="1:7" ht="98" customHeight="1" x14ac:dyDescent="0.2">
      <c r="A32" s="3" t="s">
        <v>511</v>
      </c>
      <c r="B32" s="3" t="s">
        <v>512</v>
      </c>
      <c r="C32" s="3" t="s">
        <v>513</v>
      </c>
      <c r="D32" s="3" t="s">
        <v>514</v>
      </c>
      <c r="E32" s="3" t="s">
        <v>515</v>
      </c>
    </row>
    <row r="33" spans="1:7" ht="80" customHeight="1" x14ac:dyDescent="0.2">
      <c r="A33" s="3" t="s">
        <v>516</v>
      </c>
      <c r="B33" s="3" t="s">
        <v>517</v>
      </c>
      <c r="C33" s="3" t="s">
        <v>518</v>
      </c>
      <c r="D33" s="3" t="s">
        <v>519</v>
      </c>
      <c r="E33" s="3" t="s">
        <v>520</v>
      </c>
    </row>
    <row r="34" spans="1:7" ht="46" customHeight="1" x14ac:dyDescent="0.2">
      <c r="A34" s="2" t="s">
        <v>466</v>
      </c>
      <c r="B34" s="3" t="s">
        <v>521</v>
      </c>
      <c r="C34" s="4"/>
      <c r="D34" s="4"/>
      <c r="E34" s="4"/>
    </row>
    <row r="35" spans="1:7" ht="362.5" customHeight="1" x14ac:dyDescent="0.2"/>
    <row r="36" spans="1:7" ht="46" customHeight="1" x14ac:dyDescent="0.2">
      <c r="A36" s="5" t="s">
        <v>522</v>
      </c>
      <c r="B36" s="6" t="s">
        <v>217</v>
      </c>
      <c r="C36" s="7"/>
      <c r="D36" s="7"/>
      <c r="E36" s="7"/>
      <c r="F36" s="7"/>
      <c r="G36" s="7"/>
    </row>
    <row r="37" spans="1:7" ht="46" customHeight="1" x14ac:dyDescent="0.2">
      <c r="A37" s="8" t="s">
        <v>382</v>
      </c>
      <c r="B37" s="9" t="s">
        <v>523</v>
      </c>
      <c r="C37" s="3" t="s">
        <v>524</v>
      </c>
      <c r="D37" s="3" t="s">
        <v>525</v>
      </c>
      <c r="E37" s="3" t="s">
        <v>526</v>
      </c>
    </row>
    <row r="38" spans="1:7" ht="46" customHeight="1" x14ac:dyDescent="0.2">
      <c r="A38" s="3" t="s">
        <v>527</v>
      </c>
      <c r="B38" s="3" t="s">
        <v>528</v>
      </c>
      <c r="C38" s="3" t="s">
        <v>529</v>
      </c>
      <c r="D38" s="3" t="s">
        <v>530</v>
      </c>
      <c r="E38" s="3" t="s">
        <v>531</v>
      </c>
    </row>
    <row r="39" spans="1:7" ht="46" customHeight="1" x14ac:dyDescent="0.2">
      <c r="A39" s="3" t="s">
        <v>532</v>
      </c>
      <c r="B39" s="3" t="s">
        <v>533</v>
      </c>
      <c r="C39" s="3" t="s">
        <v>534</v>
      </c>
      <c r="D39" s="3" t="s">
        <v>535</v>
      </c>
      <c r="E39" s="3" t="s">
        <v>536</v>
      </c>
      <c r="G39" s="3"/>
    </row>
    <row r="40" spans="1:7" ht="46" customHeight="1" x14ac:dyDescent="0.2">
      <c r="A40" s="3" t="s">
        <v>537</v>
      </c>
      <c r="B40" s="3" t="s">
        <v>538</v>
      </c>
      <c r="C40" s="3" t="s">
        <v>539</v>
      </c>
      <c r="D40" s="3" t="s">
        <v>540</v>
      </c>
      <c r="E40" s="3" t="s">
        <v>541</v>
      </c>
    </row>
    <row r="41" spans="1:7" ht="70" customHeight="1" x14ac:dyDescent="0.2">
      <c r="A41" s="3" t="s">
        <v>542</v>
      </c>
      <c r="B41" s="3" t="s">
        <v>543</v>
      </c>
      <c r="C41" s="3" t="s">
        <v>544</v>
      </c>
      <c r="D41" s="3" t="s">
        <v>545</v>
      </c>
      <c r="E41" s="3" t="s">
        <v>546</v>
      </c>
    </row>
    <row r="42" spans="1:7" ht="48" customHeight="1" x14ac:dyDescent="0.2">
      <c r="A42" s="3" t="s">
        <v>547</v>
      </c>
      <c r="B42" s="3" t="s">
        <v>548</v>
      </c>
      <c r="C42" s="3" t="s">
        <v>549</v>
      </c>
      <c r="D42" s="3" t="s">
        <v>400</v>
      </c>
      <c r="E42" s="3" t="s">
        <v>550</v>
      </c>
    </row>
    <row r="43" spans="1:7" ht="46" customHeight="1" x14ac:dyDescent="0.2">
      <c r="A43" s="2" t="s">
        <v>466</v>
      </c>
      <c r="B43" s="3" t="s">
        <v>551</v>
      </c>
      <c r="C43" s="4"/>
      <c r="D43" s="4"/>
      <c r="E43" s="4"/>
    </row>
    <row r="44" spans="1:7" ht="323" customHeight="1" x14ac:dyDescent="0.2"/>
    <row r="45" spans="1:7" ht="46" customHeight="1" x14ac:dyDescent="0.2">
      <c r="A45" s="5" t="s">
        <v>552</v>
      </c>
      <c r="B45" s="6" t="s">
        <v>221</v>
      </c>
      <c r="C45" s="7"/>
      <c r="D45" s="7"/>
      <c r="E45" s="7"/>
      <c r="F45" s="7"/>
      <c r="G45" s="7"/>
    </row>
    <row r="46" spans="1:7" ht="267" customHeight="1" x14ac:dyDescent="0.2">
      <c r="A46" s="8" t="s">
        <v>382</v>
      </c>
      <c r="B46" s="9" t="s">
        <v>553</v>
      </c>
      <c r="C46" s="3" t="s">
        <v>554</v>
      </c>
      <c r="D46" s="3" t="s">
        <v>555</v>
      </c>
      <c r="E46" s="3" t="s">
        <v>556</v>
      </c>
      <c r="G46" s="3"/>
    </row>
    <row r="47" spans="1:7" ht="46" customHeight="1" x14ac:dyDescent="0.2">
      <c r="A47" s="3" t="s">
        <v>557</v>
      </c>
      <c r="B47" s="3" t="s">
        <v>558</v>
      </c>
      <c r="C47" s="3" t="s">
        <v>559</v>
      </c>
      <c r="D47" s="3" t="s">
        <v>560</v>
      </c>
      <c r="E47" s="3" t="s">
        <v>561</v>
      </c>
    </row>
    <row r="48" spans="1:7" ht="40" customHeight="1" x14ac:dyDescent="0.2">
      <c r="A48" s="3" t="s">
        <v>562</v>
      </c>
      <c r="B48" s="3" t="s">
        <v>563</v>
      </c>
      <c r="C48" s="3" t="s">
        <v>564</v>
      </c>
      <c r="D48" s="3" t="s">
        <v>565</v>
      </c>
      <c r="E48" s="3" t="s">
        <v>566</v>
      </c>
    </row>
    <row r="49" spans="1:7" ht="48" customHeight="1" x14ac:dyDescent="0.2">
      <c r="A49" s="3" t="s">
        <v>567</v>
      </c>
      <c r="B49" s="3" t="s">
        <v>568</v>
      </c>
      <c r="C49" s="3" t="s">
        <v>569</v>
      </c>
      <c r="D49" s="3" t="s">
        <v>570</v>
      </c>
      <c r="E49" s="3" t="s">
        <v>571</v>
      </c>
      <c r="G49" s="3"/>
    </row>
    <row r="50" spans="1:7" ht="46" customHeight="1" x14ac:dyDescent="0.2">
      <c r="A50" s="2" t="s">
        <v>466</v>
      </c>
      <c r="B50" s="3" t="s">
        <v>572</v>
      </c>
      <c r="C50" s="4"/>
      <c r="D50" s="4"/>
      <c r="E50" s="4"/>
    </row>
    <row r="51" spans="1:7" ht="409" customHeight="1" x14ac:dyDescent="0.2"/>
    <row r="52" spans="1:7" ht="46" customHeight="1" x14ac:dyDescent="0.2">
      <c r="A52" s="5" t="s">
        <v>573</v>
      </c>
      <c r="B52" s="6" t="s">
        <v>225</v>
      </c>
      <c r="C52" s="7"/>
      <c r="D52" s="7"/>
      <c r="E52" s="7"/>
      <c r="F52" s="7"/>
      <c r="G52" s="7"/>
    </row>
    <row r="53" spans="1:7" ht="46" customHeight="1" x14ac:dyDescent="0.2">
      <c r="A53" s="8" t="s">
        <v>382</v>
      </c>
      <c r="B53" s="9" t="s">
        <v>574</v>
      </c>
      <c r="C53" s="3" t="s">
        <v>575</v>
      </c>
      <c r="D53" s="3" t="s">
        <v>576</v>
      </c>
      <c r="E53" s="3" t="s">
        <v>577</v>
      </c>
      <c r="G53" s="3"/>
    </row>
    <row r="54" spans="1:7" ht="46" customHeight="1" x14ac:dyDescent="0.2">
      <c r="A54" s="3" t="s">
        <v>578</v>
      </c>
      <c r="B54" s="3" t="s">
        <v>579</v>
      </c>
      <c r="C54" s="3" t="s">
        <v>580</v>
      </c>
      <c r="D54" s="3" t="s">
        <v>581</v>
      </c>
      <c r="E54" s="3" t="s">
        <v>582</v>
      </c>
    </row>
    <row r="55" spans="1:7" ht="46" customHeight="1" x14ac:dyDescent="0.2">
      <c r="A55" s="3" t="s">
        <v>583</v>
      </c>
      <c r="B55" s="3" t="s">
        <v>584</v>
      </c>
      <c r="C55" s="3" t="s">
        <v>585</v>
      </c>
      <c r="D55" s="3" t="s">
        <v>586</v>
      </c>
      <c r="E55" s="3" t="s">
        <v>587</v>
      </c>
    </row>
    <row r="56" spans="1:7" ht="46" customHeight="1" x14ac:dyDescent="0.2">
      <c r="A56" s="3" t="s">
        <v>588</v>
      </c>
      <c r="B56" s="3" t="s">
        <v>589</v>
      </c>
      <c r="C56" s="3" t="s">
        <v>590</v>
      </c>
      <c r="D56" s="3" t="s">
        <v>400</v>
      </c>
      <c r="E56" s="3" t="s">
        <v>591</v>
      </c>
    </row>
    <row r="57" spans="1:7" ht="56" customHeight="1" x14ac:dyDescent="0.2">
      <c r="A57" s="3" t="s">
        <v>592</v>
      </c>
      <c r="B57" s="3" t="s">
        <v>593</v>
      </c>
      <c r="C57" s="3" t="s">
        <v>594</v>
      </c>
      <c r="D57" s="3" t="s">
        <v>595</v>
      </c>
      <c r="E57" s="3" t="s">
        <v>596</v>
      </c>
    </row>
    <row r="58" spans="1:7" ht="80" customHeight="1" x14ac:dyDescent="0.2">
      <c r="A58" s="3" t="s">
        <v>597</v>
      </c>
      <c r="B58" s="3" t="s">
        <v>598</v>
      </c>
      <c r="C58" s="3" t="s">
        <v>599</v>
      </c>
      <c r="D58" s="3" t="s">
        <v>600</v>
      </c>
      <c r="E58" s="3" t="s">
        <v>601</v>
      </c>
    </row>
    <row r="59" spans="1:7" ht="46" customHeight="1" x14ac:dyDescent="0.2">
      <c r="A59" s="2" t="s">
        <v>466</v>
      </c>
      <c r="B59" s="3" t="s">
        <v>602</v>
      </c>
      <c r="C59" s="4"/>
      <c r="D59" s="4"/>
      <c r="E59" s="4"/>
    </row>
    <row r="60" spans="1:7" ht="362.5" customHeight="1" x14ac:dyDescent="0.2"/>
    <row r="61" spans="1:7" ht="46" customHeight="1" x14ac:dyDescent="0.2">
      <c r="A61" s="5" t="s">
        <v>603</v>
      </c>
      <c r="B61" s="6" t="s">
        <v>229</v>
      </c>
      <c r="C61" s="7"/>
      <c r="D61" s="7"/>
      <c r="E61" s="7"/>
      <c r="F61" s="7"/>
      <c r="G61" s="7"/>
    </row>
    <row r="62" spans="1:7" ht="46" customHeight="1" x14ac:dyDescent="0.2">
      <c r="A62" s="8" t="s">
        <v>382</v>
      </c>
      <c r="B62" s="9" t="s">
        <v>604</v>
      </c>
      <c r="C62" s="3" t="s">
        <v>605</v>
      </c>
      <c r="D62" s="3" t="s">
        <v>606</v>
      </c>
      <c r="E62" s="3" t="s">
        <v>607</v>
      </c>
      <c r="G62" s="3"/>
    </row>
    <row r="63" spans="1:7" ht="46" customHeight="1" x14ac:dyDescent="0.2">
      <c r="A63" s="3" t="s">
        <v>608</v>
      </c>
      <c r="B63" s="3" t="s">
        <v>609</v>
      </c>
      <c r="C63" s="3" t="s">
        <v>610</v>
      </c>
      <c r="D63" s="3" t="s">
        <v>611</v>
      </c>
      <c r="E63" s="3" t="s">
        <v>612</v>
      </c>
    </row>
    <row r="64" spans="1:7" ht="42" customHeight="1" x14ac:dyDescent="0.2">
      <c r="A64" s="3" t="s">
        <v>613</v>
      </c>
      <c r="B64" s="3" t="s">
        <v>614</v>
      </c>
      <c r="C64" s="3" t="s">
        <v>615</v>
      </c>
      <c r="D64" s="3" t="s">
        <v>611</v>
      </c>
      <c r="E64" s="3" t="s">
        <v>616</v>
      </c>
    </row>
    <row r="65" spans="1:7" ht="32" customHeight="1" x14ac:dyDescent="0.2">
      <c r="A65" s="3" t="s">
        <v>617</v>
      </c>
      <c r="B65" s="3" t="s">
        <v>618</v>
      </c>
      <c r="C65" s="3" t="s">
        <v>619</v>
      </c>
      <c r="D65" s="3" t="s">
        <v>611</v>
      </c>
      <c r="E65" s="3" t="s">
        <v>620</v>
      </c>
    </row>
    <row r="66" spans="1:7" ht="46" customHeight="1" x14ac:dyDescent="0.2">
      <c r="A66" s="2" t="s">
        <v>466</v>
      </c>
      <c r="B66" s="3" t="s">
        <v>621</v>
      </c>
      <c r="C66" s="4"/>
      <c r="D66" s="4"/>
      <c r="E66" s="4"/>
    </row>
    <row r="67" spans="1:7" ht="362.5" customHeight="1" x14ac:dyDescent="0.2"/>
    <row r="68" spans="1:7" ht="46" customHeight="1" x14ac:dyDescent="0.2">
      <c r="A68" s="5" t="s">
        <v>622</v>
      </c>
      <c r="B68" s="6" t="s">
        <v>233</v>
      </c>
      <c r="C68" s="7"/>
      <c r="D68" s="7"/>
      <c r="E68" s="7"/>
      <c r="F68" s="7"/>
      <c r="G68" s="7"/>
    </row>
    <row r="69" spans="1:7" ht="46" customHeight="1" x14ac:dyDescent="0.2">
      <c r="A69" s="8" t="s">
        <v>382</v>
      </c>
      <c r="B69" s="9" t="s">
        <v>623</v>
      </c>
      <c r="C69" s="3" t="s">
        <v>624</v>
      </c>
      <c r="D69" s="3" t="s">
        <v>625</v>
      </c>
      <c r="E69" s="3" t="s">
        <v>626</v>
      </c>
      <c r="G69" s="3"/>
    </row>
    <row r="70" spans="1:7" ht="46" customHeight="1" x14ac:dyDescent="0.2">
      <c r="A70" s="3" t="s">
        <v>627</v>
      </c>
      <c r="B70" s="3" t="s">
        <v>628</v>
      </c>
      <c r="C70" s="3" t="s">
        <v>629</v>
      </c>
      <c r="D70" s="3" t="s">
        <v>630</v>
      </c>
      <c r="E70" s="3" t="s">
        <v>631</v>
      </c>
    </row>
    <row r="71" spans="1:7" ht="46" customHeight="1" x14ac:dyDescent="0.2">
      <c r="A71" s="3" t="s">
        <v>632</v>
      </c>
      <c r="B71" s="3" t="s">
        <v>633</v>
      </c>
      <c r="C71" s="3" t="s">
        <v>634</v>
      </c>
      <c r="D71" s="3" t="s">
        <v>635</v>
      </c>
      <c r="E71" s="3" t="s">
        <v>636</v>
      </c>
    </row>
    <row r="72" spans="1:7" ht="56" customHeight="1" x14ac:dyDescent="0.2">
      <c r="A72" s="3" t="s">
        <v>637</v>
      </c>
      <c r="B72" s="3" t="s">
        <v>638</v>
      </c>
      <c r="C72" s="3" t="s">
        <v>639</v>
      </c>
      <c r="D72" s="3" t="s">
        <v>640</v>
      </c>
      <c r="E72" s="3" t="s">
        <v>641</v>
      </c>
    </row>
    <row r="73" spans="1:7" ht="64" customHeight="1" x14ac:dyDescent="0.2">
      <c r="A73" s="3" t="s">
        <v>642</v>
      </c>
      <c r="B73" s="3" t="s">
        <v>643</v>
      </c>
      <c r="C73" s="3" t="s">
        <v>644</v>
      </c>
      <c r="D73" s="3" t="s">
        <v>645</v>
      </c>
      <c r="E73" s="3" t="s">
        <v>646</v>
      </c>
    </row>
    <row r="74" spans="1:7" ht="46" customHeight="1" x14ac:dyDescent="0.2">
      <c r="A74" s="2" t="s">
        <v>466</v>
      </c>
      <c r="B74" s="3" t="s">
        <v>647</v>
      </c>
      <c r="C74" s="4"/>
      <c r="D74" s="4"/>
      <c r="E74" s="4"/>
    </row>
    <row r="75" spans="1:7" ht="287.5" customHeight="1" x14ac:dyDescent="0.2"/>
    <row r="76" spans="1:7" ht="46" customHeight="1" x14ac:dyDescent="0.2">
      <c r="A76" s="5" t="s">
        <v>648</v>
      </c>
      <c r="B76" s="6" t="s">
        <v>237</v>
      </c>
      <c r="C76" s="7"/>
      <c r="D76" s="7"/>
      <c r="E76" s="7"/>
      <c r="F76" s="7"/>
      <c r="G76" s="7"/>
    </row>
    <row r="77" spans="1:7" ht="46" customHeight="1" x14ac:dyDescent="0.2">
      <c r="A77" s="8" t="s">
        <v>382</v>
      </c>
      <c r="B77" s="9" t="s">
        <v>649</v>
      </c>
      <c r="C77" s="3" t="s">
        <v>650</v>
      </c>
      <c r="D77" s="3" t="s">
        <v>651</v>
      </c>
      <c r="E77" s="3" t="s">
        <v>652</v>
      </c>
      <c r="G77" s="3"/>
    </row>
    <row r="78" spans="1:7" ht="40" customHeight="1" x14ac:dyDescent="0.2">
      <c r="A78" s="3" t="s">
        <v>653</v>
      </c>
      <c r="B78" s="3" t="s">
        <v>654</v>
      </c>
      <c r="C78" s="3" t="s">
        <v>655</v>
      </c>
      <c r="D78" s="3" t="s">
        <v>656</v>
      </c>
      <c r="E78" s="3" t="s">
        <v>657</v>
      </c>
    </row>
    <row r="79" spans="1:7" ht="48" customHeight="1" x14ac:dyDescent="0.2">
      <c r="A79" s="3" t="s">
        <v>658</v>
      </c>
      <c r="B79" s="3" t="s">
        <v>659</v>
      </c>
      <c r="C79" s="3" t="s">
        <v>660</v>
      </c>
      <c r="D79" s="3" t="s">
        <v>661</v>
      </c>
      <c r="E79" s="3" t="s">
        <v>662</v>
      </c>
    </row>
    <row r="80" spans="1:7" ht="46" customHeight="1" x14ac:dyDescent="0.2">
      <c r="A80" s="2" t="s">
        <v>466</v>
      </c>
      <c r="B80" s="3" t="s">
        <v>663</v>
      </c>
      <c r="C80" s="4"/>
      <c r="D80" s="4"/>
      <c r="E80" s="4"/>
    </row>
    <row r="81" spans="1:7" ht="287.5" customHeight="1" x14ac:dyDescent="0.2"/>
    <row r="82" spans="1:7" ht="46" customHeight="1" x14ac:dyDescent="0.2">
      <c r="A82" s="5" t="s">
        <v>664</v>
      </c>
      <c r="B82" s="6" t="s">
        <v>241</v>
      </c>
      <c r="C82" s="7"/>
      <c r="D82" s="7"/>
      <c r="E82" s="7"/>
      <c r="F82" s="7"/>
      <c r="G82" s="7"/>
    </row>
    <row r="83" spans="1:7" ht="46" customHeight="1" x14ac:dyDescent="0.2">
      <c r="A83" s="8" t="s">
        <v>382</v>
      </c>
      <c r="B83" s="9" t="s">
        <v>665</v>
      </c>
      <c r="C83" s="3" t="s">
        <v>666</v>
      </c>
      <c r="D83" s="3" t="s">
        <v>667</v>
      </c>
      <c r="E83" s="3" t="s">
        <v>668</v>
      </c>
    </row>
    <row r="84" spans="1:7" ht="40" customHeight="1" x14ac:dyDescent="0.2">
      <c r="A84" s="3" t="s">
        <v>669</v>
      </c>
      <c r="B84" s="3" t="s">
        <v>670</v>
      </c>
      <c r="C84" s="3" t="s">
        <v>671</v>
      </c>
      <c r="D84" s="3" t="s">
        <v>672</v>
      </c>
      <c r="E84" s="3" t="s">
        <v>673</v>
      </c>
    </row>
    <row r="85" spans="1:7" ht="32" customHeight="1" x14ac:dyDescent="0.2">
      <c r="A85" s="3" t="s">
        <v>674</v>
      </c>
      <c r="B85" s="3" t="s">
        <v>675</v>
      </c>
      <c r="C85" s="3" t="s">
        <v>676</v>
      </c>
      <c r="D85" s="3" t="s">
        <v>677</v>
      </c>
      <c r="E85" s="3" t="s">
        <v>678</v>
      </c>
    </row>
    <row r="86" spans="1:7" ht="48" customHeight="1" x14ac:dyDescent="0.2">
      <c r="A86" s="2" t="s">
        <v>466</v>
      </c>
      <c r="B86" s="3" t="s">
        <v>679</v>
      </c>
      <c r="C86" s="4"/>
      <c r="D86" s="4"/>
      <c r="E86" s="4"/>
    </row>
    <row r="88" spans="1:7" ht="42" customHeight="1" x14ac:dyDescent="0.2">
      <c r="A88" s="5" t="s">
        <v>680</v>
      </c>
      <c r="B88" s="6" t="s">
        <v>681</v>
      </c>
      <c r="C88" s="7"/>
      <c r="D88" s="7"/>
      <c r="E88" s="7"/>
      <c r="F88" s="7"/>
      <c r="G88" s="7"/>
    </row>
    <row r="89" spans="1:7" ht="360" customHeight="1" x14ac:dyDescent="0.2">
      <c r="A89" s="8" t="s">
        <v>382</v>
      </c>
      <c r="B89" s="14" t="s">
        <v>682</v>
      </c>
      <c r="C89" s="3"/>
      <c r="D89" s="3"/>
      <c r="E89" s="3"/>
      <c r="G89" s="3"/>
    </row>
    <row r="90" spans="1:7" ht="64" customHeight="1" x14ac:dyDescent="0.2">
      <c r="A90" s="3" t="s">
        <v>683</v>
      </c>
      <c r="B90" s="3" t="s">
        <v>684</v>
      </c>
      <c r="C90" s="3" t="s">
        <v>685</v>
      </c>
      <c r="D90" s="3" t="s">
        <v>686</v>
      </c>
      <c r="E90" s="3" t="s">
        <v>687</v>
      </c>
    </row>
    <row r="91" spans="1:7" ht="90" customHeight="1" x14ac:dyDescent="0.2">
      <c r="A91" s="2" t="s">
        <v>466</v>
      </c>
      <c r="B91" s="3" t="s">
        <v>688</v>
      </c>
      <c r="C91" s="4"/>
      <c r="D91" s="4"/>
      <c r="E91" s="4"/>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x14ac:dyDescent="0.2"/>
  <cols>
    <col min="1" max="1" width="30" customWidth="1"/>
    <col min="2" max="2" width="58" customWidth="1"/>
    <col min="3" max="3" width="42" customWidth="1"/>
    <col min="4" max="4" width="30" customWidth="1"/>
    <col min="5" max="5" width="32" customWidth="1"/>
    <col min="6" max="6" width="11" customWidth="1"/>
    <col min="7" max="7" width="24" customWidth="1"/>
  </cols>
  <sheetData>
    <row r="1" spans="1:7" ht="26" customHeight="1" x14ac:dyDescent="0.2">
      <c r="A1" s="1" t="s">
        <v>375</v>
      </c>
      <c r="B1" s="1" t="s">
        <v>376</v>
      </c>
      <c r="C1" s="1" t="s">
        <v>377</v>
      </c>
      <c r="D1" s="1" t="s">
        <v>378</v>
      </c>
      <c r="E1" s="1" t="s">
        <v>379</v>
      </c>
      <c r="F1" s="1" t="s">
        <v>5</v>
      </c>
      <c r="G1" s="1" t="s">
        <v>187</v>
      </c>
    </row>
    <row r="2" spans="1:7" ht="46" customHeight="1" x14ac:dyDescent="0.2">
      <c r="A2" s="5" t="s">
        <v>689</v>
      </c>
      <c r="B2" s="6" t="s">
        <v>690</v>
      </c>
      <c r="C2" s="7"/>
      <c r="D2" s="7"/>
      <c r="E2" s="7"/>
      <c r="F2" s="7"/>
      <c r="G2" s="7"/>
    </row>
    <row r="3" spans="1:7" ht="409" customHeight="1" x14ac:dyDescent="0.2">
      <c r="A3" s="8" t="s">
        <v>382</v>
      </c>
      <c r="B3" s="9" t="s">
        <v>691</v>
      </c>
      <c r="C3" s="3" t="s">
        <v>692</v>
      </c>
      <c r="D3" s="3" t="s">
        <v>693</v>
      </c>
      <c r="E3" s="3" t="s">
        <v>694</v>
      </c>
      <c r="G3" s="3"/>
    </row>
    <row r="4" spans="1:7" ht="46" customHeight="1" x14ac:dyDescent="0.2">
      <c r="A4" s="3" t="s">
        <v>695</v>
      </c>
      <c r="B4" s="3" t="s">
        <v>696</v>
      </c>
      <c r="C4" s="3" t="s">
        <v>697</v>
      </c>
      <c r="D4" s="3" t="s">
        <v>698</v>
      </c>
      <c r="E4" s="3" t="s">
        <v>699</v>
      </c>
      <c r="G4" s="3"/>
    </row>
    <row r="5" spans="1:7" ht="46" customHeight="1" x14ac:dyDescent="0.2">
      <c r="A5" s="3" t="s">
        <v>700</v>
      </c>
      <c r="B5" s="3" t="s">
        <v>701</v>
      </c>
      <c r="C5" s="3" t="s">
        <v>702</v>
      </c>
      <c r="D5" s="3" t="s">
        <v>703</v>
      </c>
      <c r="E5" s="3" t="s">
        <v>704</v>
      </c>
    </row>
    <row r="6" spans="1:7" ht="46" customHeight="1" x14ac:dyDescent="0.2">
      <c r="A6" s="3" t="s">
        <v>705</v>
      </c>
      <c r="B6" s="3" t="s">
        <v>706</v>
      </c>
      <c r="C6" s="3" t="s">
        <v>707</v>
      </c>
      <c r="D6" s="3" t="s">
        <v>708</v>
      </c>
      <c r="E6" s="3" t="s">
        <v>709</v>
      </c>
    </row>
    <row r="7" spans="1:7" ht="46" customHeight="1" x14ac:dyDescent="0.2">
      <c r="A7" s="3" t="s">
        <v>710</v>
      </c>
      <c r="B7" s="3" t="s">
        <v>711</v>
      </c>
      <c r="C7" s="3" t="s">
        <v>712</v>
      </c>
      <c r="D7" s="3" t="s">
        <v>713</v>
      </c>
      <c r="E7" s="3" t="s">
        <v>714</v>
      </c>
    </row>
    <row r="8" spans="1:7" ht="46" customHeight="1" x14ac:dyDescent="0.2">
      <c r="A8" s="3" t="s">
        <v>715</v>
      </c>
      <c r="B8" s="3" t="s">
        <v>716</v>
      </c>
      <c r="C8" s="3" t="s">
        <v>717</v>
      </c>
      <c r="D8" s="3" t="s">
        <v>718</v>
      </c>
      <c r="E8" s="3" t="s">
        <v>719</v>
      </c>
    </row>
    <row r="9" spans="1:7" ht="46" customHeight="1" x14ac:dyDescent="0.2">
      <c r="A9" s="3" t="s">
        <v>720</v>
      </c>
      <c r="B9" s="3" t="s">
        <v>721</v>
      </c>
      <c r="C9" s="3" t="s">
        <v>722</v>
      </c>
      <c r="D9" s="3" t="s">
        <v>723</v>
      </c>
      <c r="E9" s="3" t="s">
        <v>724</v>
      </c>
      <c r="G9" s="3"/>
    </row>
    <row r="10" spans="1:7" ht="46" customHeight="1" x14ac:dyDescent="0.2">
      <c r="A10" s="3" t="s">
        <v>725</v>
      </c>
      <c r="B10" s="3" t="s">
        <v>726</v>
      </c>
      <c r="C10" s="3" t="s">
        <v>727</v>
      </c>
      <c r="D10" s="3" t="s">
        <v>728</v>
      </c>
      <c r="E10" s="3" t="s">
        <v>729</v>
      </c>
    </row>
    <row r="11" spans="1:7" ht="46" customHeight="1" x14ac:dyDescent="0.2">
      <c r="A11" s="3" t="s">
        <v>730</v>
      </c>
      <c r="B11" s="3" t="s">
        <v>731</v>
      </c>
      <c r="C11" s="3" t="s">
        <v>732</v>
      </c>
      <c r="D11" s="3" t="s">
        <v>733</v>
      </c>
      <c r="E11" s="3" t="s">
        <v>734</v>
      </c>
      <c r="G11" s="3"/>
    </row>
    <row r="12" spans="1:7" ht="46" customHeight="1" x14ac:dyDescent="0.2">
      <c r="A12" s="3" t="s">
        <v>735</v>
      </c>
      <c r="B12" s="3" t="s">
        <v>736</v>
      </c>
      <c r="C12" s="3" t="s">
        <v>737</v>
      </c>
      <c r="D12" s="3" t="s">
        <v>738</v>
      </c>
      <c r="E12" s="3" t="s">
        <v>739</v>
      </c>
    </row>
    <row r="13" spans="1:7" ht="46" customHeight="1" x14ac:dyDescent="0.2">
      <c r="A13" s="3" t="s">
        <v>740</v>
      </c>
      <c r="B13" s="3" t="s">
        <v>741</v>
      </c>
      <c r="C13" s="3" t="s">
        <v>742</v>
      </c>
      <c r="D13" s="3" t="s">
        <v>743</v>
      </c>
      <c r="E13" s="3" t="s">
        <v>744</v>
      </c>
      <c r="G13" s="3"/>
    </row>
    <row r="14" spans="1:7" ht="46" customHeight="1" x14ac:dyDescent="0.2">
      <c r="A14" s="3" t="s">
        <v>745</v>
      </c>
      <c r="B14" s="3" t="s">
        <v>746</v>
      </c>
      <c r="C14" s="3" t="s">
        <v>747</v>
      </c>
      <c r="D14" s="3" t="s">
        <v>748</v>
      </c>
      <c r="E14" s="3" t="s">
        <v>749</v>
      </c>
      <c r="G14" s="3"/>
    </row>
    <row r="15" spans="1:7" ht="64" customHeight="1" x14ac:dyDescent="0.2">
      <c r="A15" s="3" t="s">
        <v>750</v>
      </c>
      <c r="B15" s="3" t="s">
        <v>751</v>
      </c>
      <c r="C15" s="3" t="s">
        <v>752</v>
      </c>
      <c r="D15" s="3" t="s">
        <v>400</v>
      </c>
      <c r="E15" s="3" t="s">
        <v>753</v>
      </c>
      <c r="G15" s="3"/>
    </row>
    <row r="16" spans="1:7" ht="335" customHeight="1" x14ac:dyDescent="0.2">
      <c r="A16" s="2" t="s">
        <v>466</v>
      </c>
      <c r="B16" s="3" t="s">
        <v>754</v>
      </c>
      <c r="C16" s="4"/>
      <c r="D16" s="4"/>
      <c r="E16" s="4"/>
    </row>
    <row r="17" spans="1:7" ht="46" customHeight="1" x14ac:dyDescent="0.2"/>
    <row r="18" spans="1:7" ht="400" customHeight="1" x14ac:dyDescent="0.2">
      <c r="A18" s="5" t="s">
        <v>755</v>
      </c>
      <c r="B18" s="6" t="s">
        <v>756</v>
      </c>
      <c r="C18" s="7"/>
      <c r="D18" s="7"/>
      <c r="E18" s="7"/>
      <c r="F18" s="7"/>
      <c r="G18" s="7"/>
    </row>
    <row r="19" spans="1:7" ht="46" customHeight="1" x14ac:dyDescent="0.2">
      <c r="A19" s="8" t="s">
        <v>382</v>
      </c>
      <c r="B19" s="9" t="s">
        <v>757</v>
      </c>
      <c r="C19" s="3" t="s">
        <v>758</v>
      </c>
      <c r="D19" s="3" t="s">
        <v>759</v>
      </c>
      <c r="E19" s="3" t="s">
        <v>760</v>
      </c>
      <c r="G19" s="3"/>
    </row>
    <row r="20" spans="1:7" ht="46" customHeight="1" x14ac:dyDescent="0.2">
      <c r="A20" s="3" t="s">
        <v>761</v>
      </c>
      <c r="B20" s="3" t="s">
        <v>762</v>
      </c>
      <c r="C20" s="3" t="s">
        <v>763</v>
      </c>
      <c r="D20" s="3" t="s">
        <v>733</v>
      </c>
      <c r="E20" s="3" t="s">
        <v>764</v>
      </c>
    </row>
    <row r="21" spans="1:7" ht="46" customHeight="1" x14ac:dyDescent="0.2">
      <c r="A21" s="3" t="s">
        <v>765</v>
      </c>
      <c r="B21" s="3" t="s">
        <v>766</v>
      </c>
      <c r="C21" s="3" t="s">
        <v>767</v>
      </c>
      <c r="D21" s="3" t="s">
        <v>768</v>
      </c>
      <c r="E21" s="3" t="s">
        <v>769</v>
      </c>
    </row>
    <row r="22" spans="1:7" ht="46" customHeight="1" x14ac:dyDescent="0.2">
      <c r="A22" s="3" t="s">
        <v>770</v>
      </c>
      <c r="B22" s="3" t="s">
        <v>771</v>
      </c>
      <c r="C22" s="3" t="s">
        <v>772</v>
      </c>
      <c r="D22" s="3" t="s">
        <v>773</v>
      </c>
      <c r="E22" s="3" t="s">
        <v>774</v>
      </c>
    </row>
    <row r="23" spans="1:7" ht="46" customHeight="1" x14ac:dyDescent="0.2">
      <c r="A23" s="3" t="s">
        <v>775</v>
      </c>
      <c r="B23" s="3" t="s">
        <v>776</v>
      </c>
      <c r="C23" s="3" t="s">
        <v>777</v>
      </c>
      <c r="D23" s="3" t="s">
        <v>778</v>
      </c>
      <c r="E23" s="3" t="s">
        <v>779</v>
      </c>
    </row>
    <row r="24" spans="1:7" ht="70" customHeight="1" x14ac:dyDescent="0.2">
      <c r="A24" s="3" t="s">
        <v>780</v>
      </c>
      <c r="B24" s="3" t="s">
        <v>781</v>
      </c>
      <c r="C24" s="3" t="s">
        <v>782</v>
      </c>
      <c r="D24" s="3" t="s">
        <v>783</v>
      </c>
      <c r="E24" s="3" t="s">
        <v>401</v>
      </c>
    </row>
    <row r="25" spans="1:7" ht="224" customHeight="1" x14ac:dyDescent="0.2">
      <c r="A25" s="2" t="s">
        <v>466</v>
      </c>
      <c r="B25" s="3" t="s">
        <v>784</v>
      </c>
      <c r="C25" s="4"/>
      <c r="D25" s="4"/>
      <c r="E25" s="4"/>
    </row>
    <row r="26" spans="1:7" ht="46" customHeight="1" x14ac:dyDescent="0.2"/>
    <row r="27" spans="1:7" ht="337.5" customHeight="1" x14ac:dyDescent="0.2">
      <c r="A27" s="5" t="s">
        <v>785</v>
      </c>
      <c r="B27" s="6" t="s">
        <v>786</v>
      </c>
      <c r="C27" s="7"/>
      <c r="D27" s="7"/>
      <c r="E27" s="7"/>
      <c r="F27" s="7"/>
      <c r="G27" s="7"/>
    </row>
    <row r="28" spans="1:7" ht="46" customHeight="1" x14ac:dyDescent="0.2">
      <c r="A28" s="8" t="s">
        <v>382</v>
      </c>
      <c r="B28" s="9" t="s">
        <v>787</v>
      </c>
      <c r="C28" s="3" t="s">
        <v>788</v>
      </c>
      <c r="D28" s="3" t="s">
        <v>789</v>
      </c>
      <c r="E28" s="3" t="s">
        <v>790</v>
      </c>
    </row>
    <row r="29" spans="1:7" ht="46" customHeight="1" x14ac:dyDescent="0.2">
      <c r="A29" s="3" t="s">
        <v>791</v>
      </c>
      <c r="B29" s="3" t="s">
        <v>792</v>
      </c>
      <c r="C29" s="3" t="s">
        <v>793</v>
      </c>
      <c r="D29" s="3" t="s">
        <v>794</v>
      </c>
      <c r="E29" s="3" t="s">
        <v>795</v>
      </c>
      <c r="G29" s="3"/>
    </row>
    <row r="30" spans="1:7" ht="46" customHeight="1" x14ac:dyDescent="0.2">
      <c r="A30" s="3" t="s">
        <v>796</v>
      </c>
      <c r="B30" s="3" t="s">
        <v>797</v>
      </c>
      <c r="C30" s="3" t="s">
        <v>798</v>
      </c>
      <c r="D30" s="3" t="s">
        <v>799</v>
      </c>
      <c r="E30" s="3" t="s">
        <v>800</v>
      </c>
    </row>
    <row r="31" spans="1:7" ht="70" customHeight="1" x14ac:dyDescent="0.2">
      <c r="A31" s="3" t="s">
        <v>801</v>
      </c>
      <c r="B31" s="3" t="s">
        <v>802</v>
      </c>
      <c r="C31" s="3" t="s">
        <v>803</v>
      </c>
      <c r="D31" s="3" t="s">
        <v>401</v>
      </c>
      <c r="E31" s="3" t="s">
        <v>804</v>
      </c>
    </row>
    <row r="32" spans="1:7" ht="176" customHeight="1" x14ac:dyDescent="0.2">
      <c r="A32" s="2" t="s">
        <v>466</v>
      </c>
      <c r="B32" s="3" t="s">
        <v>805</v>
      </c>
      <c r="C32" s="4"/>
      <c r="D32" s="4"/>
      <c r="E32" s="4"/>
    </row>
    <row r="33" spans="1:7" ht="46" customHeight="1" x14ac:dyDescent="0.2"/>
    <row r="34" spans="1:7" ht="362.5" customHeight="1" x14ac:dyDescent="0.2">
      <c r="A34" s="5" t="s">
        <v>806</v>
      </c>
      <c r="B34" s="6" t="s">
        <v>807</v>
      </c>
      <c r="C34" s="7"/>
      <c r="D34" s="7"/>
      <c r="E34" s="7"/>
      <c r="F34" s="7"/>
      <c r="G34" s="7"/>
    </row>
    <row r="35" spans="1:7" ht="46" customHeight="1" x14ac:dyDescent="0.2">
      <c r="A35" s="8" t="s">
        <v>382</v>
      </c>
      <c r="B35" s="9" t="s">
        <v>808</v>
      </c>
      <c r="C35" s="3" t="s">
        <v>809</v>
      </c>
      <c r="D35" s="3" t="s">
        <v>810</v>
      </c>
      <c r="E35" s="3" t="s">
        <v>811</v>
      </c>
    </row>
    <row r="36" spans="1:7" ht="46" customHeight="1" x14ac:dyDescent="0.2">
      <c r="A36" s="3" t="s">
        <v>812</v>
      </c>
      <c r="B36" s="3" t="s">
        <v>813</v>
      </c>
      <c r="C36" s="3" t="s">
        <v>814</v>
      </c>
      <c r="D36" s="3" t="s">
        <v>815</v>
      </c>
      <c r="E36" s="3" t="s">
        <v>816</v>
      </c>
    </row>
    <row r="37" spans="1:7" ht="46" customHeight="1" x14ac:dyDescent="0.2">
      <c r="A37" s="3" t="s">
        <v>817</v>
      </c>
      <c r="B37" s="3" t="s">
        <v>818</v>
      </c>
      <c r="C37" s="3" t="s">
        <v>819</v>
      </c>
      <c r="D37" s="3" t="s">
        <v>820</v>
      </c>
      <c r="E37" s="3" t="s">
        <v>821</v>
      </c>
    </row>
    <row r="38" spans="1:7" ht="46" customHeight="1" x14ac:dyDescent="0.2">
      <c r="A38" s="3" t="s">
        <v>822</v>
      </c>
      <c r="B38" s="3" t="s">
        <v>823</v>
      </c>
      <c r="C38" s="3" t="s">
        <v>824</v>
      </c>
      <c r="D38" s="3" t="s">
        <v>825</v>
      </c>
      <c r="E38" s="3" t="s">
        <v>826</v>
      </c>
    </row>
    <row r="39" spans="1:7" ht="46" customHeight="1" x14ac:dyDescent="0.2">
      <c r="A39" s="3" t="s">
        <v>827</v>
      </c>
      <c r="B39" s="3" t="s">
        <v>828</v>
      </c>
      <c r="C39" s="3" t="s">
        <v>829</v>
      </c>
      <c r="D39" s="3" t="s">
        <v>830</v>
      </c>
      <c r="E39" s="3" t="s">
        <v>831</v>
      </c>
    </row>
    <row r="40" spans="1:7" ht="98" customHeight="1" x14ac:dyDescent="0.2">
      <c r="A40" s="3" t="s">
        <v>832</v>
      </c>
      <c r="B40" s="3" t="s">
        <v>833</v>
      </c>
      <c r="C40" s="3" t="s">
        <v>834</v>
      </c>
      <c r="D40" s="3" t="s">
        <v>835</v>
      </c>
      <c r="E40" s="3" t="s">
        <v>836</v>
      </c>
    </row>
    <row r="41" spans="1:7" ht="64" customHeight="1" x14ac:dyDescent="0.2">
      <c r="A41" s="3" t="s">
        <v>837</v>
      </c>
      <c r="B41" s="3" t="s">
        <v>838</v>
      </c>
      <c r="C41" s="3" t="s">
        <v>839</v>
      </c>
      <c r="D41" s="3" t="s">
        <v>400</v>
      </c>
      <c r="E41" s="3" t="s">
        <v>840</v>
      </c>
    </row>
    <row r="42" spans="1:7" ht="46" customHeight="1" x14ac:dyDescent="0.2">
      <c r="A42" s="2" t="s">
        <v>466</v>
      </c>
      <c r="B42" s="3" t="s">
        <v>841</v>
      </c>
      <c r="C42" s="4"/>
      <c r="D42" s="4"/>
      <c r="E42" s="4"/>
    </row>
    <row r="43" spans="1:7" ht="362.5" customHeight="1" x14ac:dyDescent="0.2"/>
    <row r="44" spans="1:7" ht="46" customHeight="1" x14ac:dyDescent="0.2">
      <c r="A44" s="5" t="s">
        <v>842</v>
      </c>
      <c r="B44" s="6" t="s">
        <v>843</v>
      </c>
      <c r="C44" s="7"/>
      <c r="D44" s="7"/>
      <c r="E44" s="7"/>
      <c r="F44" s="7"/>
      <c r="G44" s="7"/>
    </row>
    <row r="45" spans="1:7" ht="46" customHeight="1" x14ac:dyDescent="0.2">
      <c r="A45" s="8" t="s">
        <v>382</v>
      </c>
      <c r="B45" s="9" t="s">
        <v>844</v>
      </c>
      <c r="C45" s="3" t="s">
        <v>845</v>
      </c>
      <c r="D45" s="3" t="s">
        <v>846</v>
      </c>
      <c r="E45" s="3" t="s">
        <v>847</v>
      </c>
      <c r="G45" s="3"/>
    </row>
    <row r="46" spans="1:7" ht="46" customHeight="1" x14ac:dyDescent="0.2">
      <c r="A46" s="3" t="s">
        <v>848</v>
      </c>
      <c r="B46" s="3" t="s">
        <v>849</v>
      </c>
      <c r="C46" s="3" t="s">
        <v>850</v>
      </c>
      <c r="D46" s="3" t="s">
        <v>851</v>
      </c>
      <c r="E46" s="3" t="s">
        <v>852</v>
      </c>
    </row>
    <row r="47" spans="1:7" ht="46" customHeight="1" x14ac:dyDescent="0.2">
      <c r="A47" s="3" t="s">
        <v>853</v>
      </c>
      <c r="B47" s="3" t="s">
        <v>854</v>
      </c>
      <c r="C47" s="3" t="s">
        <v>855</v>
      </c>
      <c r="D47" s="3" t="s">
        <v>856</v>
      </c>
      <c r="E47" s="3" t="s">
        <v>857</v>
      </c>
    </row>
    <row r="48" spans="1:7" ht="46" customHeight="1" x14ac:dyDescent="0.2">
      <c r="A48" s="3" t="s">
        <v>858</v>
      </c>
      <c r="B48" s="3" t="s">
        <v>859</v>
      </c>
      <c r="C48" s="3" t="s">
        <v>860</v>
      </c>
      <c r="D48" s="3" t="s">
        <v>861</v>
      </c>
      <c r="E48" s="3" t="s">
        <v>862</v>
      </c>
    </row>
    <row r="49" spans="1:7" ht="98" customHeight="1" x14ac:dyDescent="0.2">
      <c r="A49" s="3" t="s">
        <v>863</v>
      </c>
      <c r="B49" s="3" t="s">
        <v>864</v>
      </c>
      <c r="C49" s="3" t="s">
        <v>865</v>
      </c>
      <c r="D49" s="3" t="s">
        <v>866</v>
      </c>
      <c r="E49" s="3" t="s">
        <v>867</v>
      </c>
    </row>
    <row r="50" spans="1:7" ht="80" customHeight="1" x14ac:dyDescent="0.2">
      <c r="A50" s="3" t="s">
        <v>868</v>
      </c>
      <c r="B50" s="3" t="s">
        <v>869</v>
      </c>
      <c r="C50" s="3" t="s">
        <v>870</v>
      </c>
      <c r="D50" s="3" t="s">
        <v>871</v>
      </c>
      <c r="E50" s="3" t="s">
        <v>872</v>
      </c>
    </row>
    <row r="51" spans="1:7" ht="46" customHeight="1" x14ac:dyDescent="0.2">
      <c r="A51" s="2" t="s">
        <v>466</v>
      </c>
      <c r="B51" s="3" t="s">
        <v>873</v>
      </c>
      <c r="C51" s="4"/>
      <c r="D51" s="4"/>
      <c r="E51" s="4"/>
    </row>
    <row r="52" spans="1:7" ht="337.5" customHeight="1" x14ac:dyDescent="0.2"/>
    <row r="53" spans="1:7" ht="46" customHeight="1" x14ac:dyDescent="0.2">
      <c r="A53" s="5" t="s">
        <v>874</v>
      </c>
      <c r="B53" s="6" t="s">
        <v>266</v>
      </c>
      <c r="C53" s="7"/>
      <c r="D53" s="7"/>
      <c r="E53" s="7"/>
      <c r="F53" s="7"/>
      <c r="G53" s="7"/>
    </row>
    <row r="54" spans="1:7" ht="46" customHeight="1" x14ac:dyDescent="0.2">
      <c r="A54" s="8" t="s">
        <v>382</v>
      </c>
      <c r="B54" s="9" t="s">
        <v>875</v>
      </c>
      <c r="C54" s="3" t="s">
        <v>876</v>
      </c>
      <c r="D54" s="3" t="s">
        <v>877</v>
      </c>
      <c r="E54" s="3" t="s">
        <v>878</v>
      </c>
      <c r="G54" s="3"/>
    </row>
    <row r="55" spans="1:7" ht="46" customHeight="1" x14ac:dyDescent="0.2">
      <c r="A55" s="3" t="s">
        <v>879</v>
      </c>
      <c r="B55" s="3" t="s">
        <v>880</v>
      </c>
      <c r="C55" s="3" t="s">
        <v>881</v>
      </c>
      <c r="D55" s="3" t="s">
        <v>882</v>
      </c>
      <c r="E55" s="3" t="s">
        <v>883</v>
      </c>
    </row>
    <row r="56" spans="1:7" ht="46" customHeight="1" x14ac:dyDescent="0.2">
      <c r="A56" s="3" t="s">
        <v>884</v>
      </c>
      <c r="B56" s="3" t="s">
        <v>885</v>
      </c>
      <c r="C56" s="3" t="s">
        <v>886</v>
      </c>
      <c r="D56" s="3" t="s">
        <v>887</v>
      </c>
      <c r="E56" s="3" t="s">
        <v>888</v>
      </c>
    </row>
    <row r="57" spans="1:7" ht="46" customHeight="1" x14ac:dyDescent="0.2">
      <c r="A57" s="3" t="s">
        <v>889</v>
      </c>
      <c r="B57" s="3" t="s">
        <v>890</v>
      </c>
      <c r="C57" s="3" t="s">
        <v>891</v>
      </c>
      <c r="D57" s="3" t="s">
        <v>892</v>
      </c>
      <c r="E57" s="3" t="s">
        <v>893</v>
      </c>
    </row>
    <row r="58" spans="1:7" ht="98" customHeight="1" x14ac:dyDescent="0.2">
      <c r="A58" s="3" t="s">
        <v>894</v>
      </c>
      <c r="B58" s="3" t="s">
        <v>895</v>
      </c>
      <c r="C58" s="3" t="s">
        <v>896</v>
      </c>
      <c r="D58" s="3" t="s">
        <v>897</v>
      </c>
      <c r="E58" s="3" t="s">
        <v>898</v>
      </c>
    </row>
    <row r="59" spans="1:7" ht="64" customHeight="1" x14ac:dyDescent="0.2">
      <c r="A59" s="3" t="s">
        <v>899</v>
      </c>
      <c r="B59" s="3" t="s">
        <v>900</v>
      </c>
      <c r="C59" s="3" t="s">
        <v>901</v>
      </c>
      <c r="D59" s="3" t="s">
        <v>902</v>
      </c>
      <c r="E59" s="3" t="s">
        <v>903</v>
      </c>
    </row>
    <row r="60" spans="1:7" ht="64" customHeight="1" x14ac:dyDescent="0.2">
      <c r="A60" s="3" t="s">
        <v>904</v>
      </c>
      <c r="B60" s="3" t="s">
        <v>905</v>
      </c>
      <c r="C60" s="3" t="s">
        <v>906</v>
      </c>
      <c r="D60" s="3" t="s">
        <v>907</v>
      </c>
      <c r="E60" s="3" t="s">
        <v>908</v>
      </c>
    </row>
    <row r="61" spans="1:7" ht="337.5" customHeight="1" x14ac:dyDescent="0.2">
      <c r="A61" s="2" t="s">
        <v>466</v>
      </c>
      <c r="B61" s="3" t="s">
        <v>909</v>
      </c>
      <c r="C61" s="4"/>
      <c r="D61" s="4"/>
      <c r="E61" s="4"/>
    </row>
    <row r="62" spans="1:7" ht="46" customHeight="1" x14ac:dyDescent="0.2"/>
    <row r="63" spans="1:7" ht="46" customHeight="1" x14ac:dyDescent="0.2">
      <c r="A63" s="5" t="s">
        <v>910</v>
      </c>
      <c r="B63" s="6" t="s">
        <v>270</v>
      </c>
      <c r="C63" s="7"/>
      <c r="D63" s="7"/>
      <c r="E63" s="7"/>
      <c r="F63" s="7"/>
      <c r="G63" s="7"/>
    </row>
    <row r="64" spans="1:7" ht="46" customHeight="1" x14ac:dyDescent="0.2">
      <c r="A64" s="8" t="s">
        <v>382</v>
      </c>
      <c r="B64" s="9" t="s">
        <v>911</v>
      </c>
      <c r="C64" s="3" t="s">
        <v>912</v>
      </c>
      <c r="D64" s="3" t="s">
        <v>913</v>
      </c>
      <c r="E64" s="3" t="s">
        <v>914</v>
      </c>
      <c r="G64" s="3"/>
    </row>
    <row r="65" spans="1:7" ht="46" customHeight="1" x14ac:dyDescent="0.2">
      <c r="A65" s="3" t="s">
        <v>915</v>
      </c>
      <c r="B65" s="3" t="s">
        <v>916</v>
      </c>
      <c r="C65" s="3" t="s">
        <v>917</v>
      </c>
      <c r="D65" s="3" t="s">
        <v>918</v>
      </c>
      <c r="E65" s="3" t="s">
        <v>919</v>
      </c>
    </row>
    <row r="66" spans="1:7" ht="84" customHeight="1" x14ac:dyDescent="0.2">
      <c r="A66" s="3" t="s">
        <v>920</v>
      </c>
      <c r="B66" s="3" t="s">
        <v>921</v>
      </c>
      <c r="C66" s="3" t="s">
        <v>922</v>
      </c>
      <c r="D66" s="3" t="s">
        <v>923</v>
      </c>
      <c r="E66" s="3" t="s">
        <v>924</v>
      </c>
    </row>
    <row r="67" spans="1:7" ht="64" customHeight="1" x14ac:dyDescent="0.2">
      <c r="A67" s="3" t="s">
        <v>889</v>
      </c>
      <c r="B67" s="3" t="s">
        <v>925</v>
      </c>
      <c r="C67" s="3" t="s">
        <v>926</v>
      </c>
      <c r="D67" s="3" t="s">
        <v>892</v>
      </c>
      <c r="E67" s="3" t="s">
        <v>927</v>
      </c>
    </row>
    <row r="68" spans="1:7" ht="112" customHeight="1" x14ac:dyDescent="0.2">
      <c r="A68" s="3" t="s">
        <v>894</v>
      </c>
      <c r="B68" s="3" t="s">
        <v>928</v>
      </c>
      <c r="C68" s="3" t="s">
        <v>929</v>
      </c>
      <c r="D68" s="3" t="s">
        <v>930</v>
      </c>
      <c r="E68" s="3" t="s">
        <v>931</v>
      </c>
    </row>
    <row r="69" spans="1:7" ht="192" customHeight="1" x14ac:dyDescent="0.2">
      <c r="A69" s="2" t="s">
        <v>466</v>
      </c>
      <c r="B69" s="3" t="s">
        <v>932</v>
      </c>
      <c r="C69" s="4"/>
      <c r="D69" s="4"/>
      <c r="E69" s="4"/>
    </row>
    <row r="71" spans="1:7" ht="42" customHeight="1" x14ac:dyDescent="0.2">
      <c r="A71" s="5" t="s">
        <v>933</v>
      </c>
      <c r="B71" s="6" t="s">
        <v>934</v>
      </c>
      <c r="C71" s="7"/>
      <c r="D71" s="7"/>
      <c r="E71" s="7"/>
      <c r="F71" s="7"/>
      <c r="G71" s="7"/>
    </row>
    <row r="72" spans="1:7" ht="375" customHeight="1" x14ac:dyDescent="0.2">
      <c r="A72" s="8" t="s">
        <v>382</v>
      </c>
      <c r="B72" s="14" t="s">
        <v>935</v>
      </c>
      <c r="C72" s="3"/>
      <c r="D72" s="3"/>
      <c r="E72" s="3"/>
      <c r="G72" s="3"/>
    </row>
    <row r="73" spans="1:7" ht="64" customHeight="1" x14ac:dyDescent="0.2">
      <c r="A73" s="3" t="s">
        <v>936</v>
      </c>
      <c r="B73" s="3" t="s">
        <v>937</v>
      </c>
      <c r="C73" s="3" t="s">
        <v>938</v>
      </c>
      <c r="D73" s="3" t="s">
        <v>939</v>
      </c>
      <c r="E73" s="3" t="s">
        <v>940</v>
      </c>
      <c r="G73" s="3"/>
    </row>
    <row r="74" spans="1:7" ht="64" customHeight="1" x14ac:dyDescent="0.2">
      <c r="A74" s="3" t="s">
        <v>941</v>
      </c>
      <c r="B74" s="3" t="s">
        <v>942</v>
      </c>
      <c r="C74" s="3" t="s">
        <v>943</v>
      </c>
      <c r="D74" s="3" t="s">
        <v>944</v>
      </c>
      <c r="E74" s="3" t="s">
        <v>945</v>
      </c>
      <c r="G74" s="3"/>
    </row>
    <row r="75" spans="1:7" ht="64" customHeight="1" x14ac:dyDescent="0.2">
      <c r="A75" s="3" t="s">
        <v>946</v>
      </c>
      <c r="B75" s="3" t="s">
        <v>947</v>
      </c>
      <c r="C75" s="3" t="s">
        <v>948</v>
      </c>
      <c r="D75" s="3" t="s">
        <v>400</v>
      </c>
      <c r="E75" s="3" t="s">
        <v>949</v>
      </c>
      <c r="G75" s="3"/>
    </row>
    <row r="76" spans="1:7" ht="90" customHeight="1" x14ac:dyDescent="0.2">
      <c r="A76" s="2" t="s">
        <v>466</v>
      </c>
      <c r="B76" s="3" t="s">
        <v>950</v>
      </c>
      <c r="C76" s="4"/>
      <c r="D76" s="4"/>
      <c r="E76" s="4"/>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82"/>
  <sheetViews>
    <sheetView zoomScale="159" workbookViewId="0">
      <pane ySplit="1" topLeftCell="A2" activePane="bottomLeft" state="frozen"/>
      <selection pane="bottomLeft" activeCell="A74" sqref="A74"/>
    </sheetView>
  </sheetViews>
  <sheetFormatPr baseColWidth="10" defaultColWidth="8.83203125" defaultRowHeight="15" x14ac:dyDescent="0.2"/>
  <cols>
    <col min="1" max="1" width="30" customWidth="1"/>
    <col min="2" max="2" width="58" customWidth="1"/>
    <col min="3" max="3" width="42" customWidth="1"/>
    <col min="4" max="4" width="30" customWidth="1"/>
    <col min="5" max="5" width="32" customWidth="1"/>
    <col min="6" max="6" width="11" customWidth="1"/>
    <col min="7" max="7" width="24" customWidth="1"/>
  </cols>
  <sheetData>
    <row r="1" spans="1:7" ht="26" customHeight="1" x14ac:dyDescent="0.2">
      <c r="A1" s="1" t="s">
        <v>375</v>
      </c>
      <c r="B1" s="1" t="s">
        <v>376</v>
      </c>
      <c r="C1" s="1" t="s">
        <v>377</v>
      </c>
      <c r="D1" s="1" t="s">
        <v>378</v>
      </c>
      <c r="E1" s="1" t="s">
        <v>379</v>
      </c>
      <c r="F1" s="1" t="s">
        <v>5</v>
      </c>
      <c r="G1" s="1" t="s">
        <v>187</v>
      </c>
    </row>
    <row r="2" spans="1:7" ht="46" customHeight="1" x14ac:dyDescent="0.2">
      <c r="A2" s="5" t="s">
        <v>951</v>
      </c>
      <c r="B2" s="6" t="s">
        <v>952</v>
      </c>
      <c r="C2" s="7"/>
      <c r="D2" s="7"/>
      <c r="E2" s="7"/>
      <c r="F2" s="7"/>
      <c r="G2" s="7"/>
    </row>
    <row r="3" spans="1:7" ht="400" customHeight="1" x14ac:dyDescent="0.2">
      <c r="A3" s="8" t="s">
        <v>382</v>
      </c>
      <c r="B3" s="9" t="s">
        <v>953</v>
      </c>
      <c r="C3" s="3" t="s">
        <v>954</v>
      </c>
      <c r="D3" s="3" t="s">
        <v>955</v>
      </c>
      <c r="E3" s="3" t="s">
        <v>956</v>
      </c>
      <c r="G3" s="3"/>
    </row>
    <row r="4" spans="1:7" ht="46" customHeight="1" x14ac:dyDescent="0.2">
      <c r="A4" s="3" t="s">
        <v>957</v>
      </c>
      <c r="B4" s="3" t="s">
        <v>958</v>
      </c>
      <c r="C4" s="3" t="s">
        <v>959</v>
      </c>
      <c r="D4" s="3" t="s">
        <v>960</v>
      </c>
      <c r="E4" s="3" t="s">
        <v>961</v>
      </c>
    </row>
    <row r="5" spans="1:7" ht="46" customHeight="1" x14ac:dyDescent="0.2">
      <c r="A5" s="3" t="s">
        <v>962</v>
      </c>
      <c r="B5" s="3" t="s">
        <v>963</v>
      </c>
      <c r="C5" s="3" t="s">
        <v>964</v>
      </c>
      <c r="D5" s="3" t="s">
        <v>965</v>
      </c>
      <c r="E5" s="3" t="s">
        <v>966</v>
      </c>
    </row>
    <row r="6" spans="1:7" ht="46" customHeight="1" x14ac:dyDescent="0.2">
      <c r="A6" s="3" t="s">
        <v>967</v>
      </c>
      <c r="B6" s="3" t="s">
        <v>968</v>
      </c>
      <c r="C6" s="3" t="s">
        <v>969</v>
      </c>
      <c r="D6" s="3" t="s">
        <v>970</v>
      </c>
      <c r="E6" s="3" t="s">
        <v>971</v>
      </c>
    </row>
    <row r="7" spans="1:7" ht="46" customHeight="1" x14ac:dyDescent="0.2">
      <c r="A7" s="3" t="s">
        <v>972</v>
      </c>
      <c r="B7" s="3" t="s">
        <v>973</v>
      </c>
      <c r="C7" s="3" t="s">
        <v>974</v>
      </c>
      <c r="D7" s="3" t="s">
        <v>975</v>
      </c>
      <c r="E7" s="3" t="s">
        <v>976</v>
      </c>
    </row>
    <row r="8" spans="1:7" ht="46" customHeight="1" x14ac:dyDescent="0.2">
      <c r="A8" s="3" t="s">
        <v>977</v>
      </c>
      <c r="B8" s="3" t="s">
        <v>978</v>
      </c>
      <c r="C8" s="3" t="s">
        <v>979</v>
      </c>
      <c r="D8" s="3" t="s">
        <v>980</v>
      </c>
      <c r="E8" s="3" t="s">
        <v>981</v>
      </c>
    </row>
    <row r="9" spans="1:7" ht="46" customHeight="1" x14ac:dyDescent="0.2">
      <c r="A9" s="3" t="s">
        <v>982</v>
      </c>
      <c r="B9" s="3" t="s">
        <v>983</v>
      </c>
      <c r="C9" s="3" t="s">
        <v>984</v>
      </c>
      <c r="D9" s="3" t="s">
        <v>985</v>
      </c>
      <c r="E9" s="3" t="s">
        <v>986</v>
      </c>
    </row>
    <row r="10" spans="1:7" ht="46" customHeight="1" x14ac:dyDescent="0.2">
      <c r="A10" s="3" t="s">
        <v>987</v>
      </c>
      <c r="B10" s="3" t="s">
        <v>988</v>
      </c>
      <c r="C10" s="3" t="s">
        <v>989</v>
      </c>
      <c r="D10" s="3" t="s">
        <v>990</v>
      </c>
      <c r="E10" s="3" t="s">
        <v>991</v>
      </c>
    </row>
    <row r="11" spans="1:7" ht="46" customHeight="1" x14ac:dyDescent="0.2">
      <c r="A11" s="3" t="s">
        <v>992</v>
      </c>
      <c r="B11" s="3" t="s">
        <v>993</v>
      </c>
      <c r="C11" s="3" t="s">
        <v>994</v>
      </c>
      <c r="D11" s="3" t="s">
        <v>464</v>
      </c>
      <c r="E11" s="3" t="s">
        <v>733</v>
      </c>
    </row>
    <row r="12" spans="1:7" ht="46" customHeight="1" x14ac:dyDescent="0.2">
      <c r="A12" s="3" t="s">
        <v>995</v>
      </c>
      <c r="B12" s="3" t="s">
        <v>996</v>
      </c>
      <c r="C12" s="3" t="s">
        <v>997</v>
      </c>
      <c r="D12" s="3" t="s">
        <v>998</v>
      </c>
      <c r="E12" s="3" t="s">
        <v>999</v>
      </c>
      <c r="G12" s="3"/>
    </row>
    <row r="13" spans="1:7" ht="46" customHeight="1" x14ac:dyDescent="0.2">
      <c r="A13" s="3" t="s">
        <v>1000</v>
      </c>
      <c r="B13" s="3" t="s">
        <v>1001</v>
      </c>
      <c r="C13" s="3" t="s">
        <v>1002</v>
      </c>
      <c r="D13" s="3" t="s">
        <v>401</v>
      </c>
      <c r="E13" s="3" t="s">
        <v>1003</v>
      </c>
    </row>
    <row r="14" spans="1:7" ht="46" customHeight="1" x14ac:dyDescent="0.2">
      <c r="A14" s="3" t="s">
        <v>1004</v>
      </c>
      <c r="B14" s="3" t="s">
        <v>1005</v>
      </c>
      <c r="C14" s="3" t="s">
        <v>1006</v>
      </c>
      <c r="D14" s="3" t="s">
        <v>464</v>
      </c>
      <c r="E14" s="3" t="s">
        <v>733</v>
      </c>
      <c r="G14" s="3"/>
    </row>
    <row r="15" spans="1:7" ht="46" customHeight="1" x14ac:dyDescent="0.2">
      <c r="A15" s="3" t="s">
        <v>1007</v>
      </c>
      <c r="B15" s="3" t="s">
        <v>1008</v>
      </c>
      <c r="C15" s="3" t="s">
        <v>1009</v>
      </c>
      <c r="D15" s="3" t="s">
        <v>1010</v>
      </c>
      <c r="E15" s="3" t="s">
        <v>1011</v>
      </c>
      <c r="G15" s="3"/>
    </row>
    <row r="16" spans="1:7" ht="64" customHeight="1" x14ac:dyDescent="0.2">
      <c r="A16" s="3" t="s">
        <v>1012</v>
      </c>
      <c r="B16" s="3" t="s">
        <v>1013</v>
      </c>
      <c r="C16" s="3" t="s">
        <v>1014</v>
      </c>
      <c r="D16" s="3" t="s">
        <v>1015</v>
      </c>
      <c r="E16" s="3" t="s">
        <v>1016</v>
      </c>
    </row>
    <row r="17" spans="1:7" ht="64" customHeight="1" x14ac:dyDescent="0.2">
      <c r="A17" s="3" t="s">
        <v>1017</v>
      </c>
      <c r="B17" s="3" t="s">
        <v>1018</v>
      </c>
      <c r="C17" s="3" t="s">
        <v>1019</v>
      </c>
      <c r="D17" s="3" t="s">
        <v>1020</v>
      </c>
      <c r="E17" s="3" t="s">
        <v>1021</v>
      </c>
    </row>
    <row r="18" spans="1:7" ht="46" customHeight="1" x14ac:dyDescent="0.2">
      <c r="A18" s="2" t="s">
        <v>466</v>
      </c>
      <c r="B18" s="3" t="s">
        <v>1022</v>
      </c>
      <c r="C18" s="4"/>
      <c r="D18" s="4"/>
      <c r="E18" s="4"/>
    </row>
    <row r="19" spans="1:7" ht="362.5" customHeight="1" x14ac:dyDescent="0.2"/>
    <row r="20" spans="1:7" ht="46" customHeight="1" x14ac:dyDescent="0.2">
      <c r="A20" s="5" t="s">
        <v>1023</v>
      </c>
      <c r="B20" s="6" t="s">
        <v>1024</v>
      </c>
      <c r="C20" s="7"/>
      <c r="D20" s="7"/>
      <c r="E20" s="7"/>
      <c r="F20" s="7"/>
      <c r="G20" s="7"/>
    </row>
    <row r="21" spans="1:7" ht="46" customHeight="1" x14ac:dyDescent="0.2">
      <c r="A21" s="8" t="s">
        <v>382</v>
      </c>
      <c r="B21" s="9" t="s">
        <v>1025</v>
      </c>
      <c r="C21" s="3" t="s">
        <v>1026</v>
      </c>
      <c r="D21" s="3" t="s">
        <v>1027</v>
      </c>
      <c r="E21" s="3" t="s">
        <v>1028</v>
      </c>
      <c r="G21" s="3"/>
    </row>
    <row r="22" spans="1:7" ht="46" customHeight="1" x14ac:dyDescent="0.2">
      <c r="A22" s="3" t="s">
        <v>1029</v>
      </c>
      <c r="B22" s="3" t="s">
        <v>1030</v>
      </c>
      <c r="C22" s="3" t="s">
        <v>1031</v>
      </c>
      <c r="D22" s="3" t="s">
        <v>1032</v>
      </c>
      <c r="E22" s="3" t="s">
        <v>1033</v>
      </c>
    </row>
    <row r="23" spans="1:7" ht="46" customHeight="1" x14ac:dyDescent="0.2">
      <c r="A23" s="3" t="s">
        <v>1034</v>
      </c>
      <c r="B23" s="3" t="s">
        <v>1035</v>
      </c>
      <c r="C23" s="3" t="s">
        <v>1036</v>
      </c>
      <c r="D23" s="3" t="s">
        <v>1037</v>
      </c>
      <c r="E23" s="3" t="s">
        <v>1038</v>
      </c>
    </row>
    <row r="24" spans="1:7" ht="46" customHeight="1" x14ac:dyDescent="0.2">
      <c r="A24" s="3" t="s">
        <v>1039</v>
      </c>
      <c r="B24" s="3" t="s">
        <v>1040</v>
      </c>
      <c r="C24" s="3" t="s">
        <v>1041</v>
      </c>
      <c r="D24" s="3" t="s">
        <v>1042</v>
      </c>
      <c r="E24" s="3" t="s">
        <v>1043</v>
      </c>
    </row>
    <row r="25" spans="1:7" ht="46" customHeight="1" x14ac:dyDescent="0.2">
      <c r="A25" s="3" t="s">
        <v>1044</v>
      </c>
      <c r="B25" s="3" t="s">
        <v>1045</v>
      </c>
      <c r="C25" s="3" t="s">
        <v>1046</v>
      </c>
      <c r="D25" s="3" t="s">
        <v>1047</v>
      </c>
      <c r="E25" s="3" t="s">
        <v>1048</v>
      </c>
    </row>
    <row r="26" spans="1:7" ht="46" customHeight="1" x14ac:dyDescent="0.2">
      <c r="A26" s="3" t="s">
        <v>1049</v>
      </c>
      <c r="B26" s="3" t="s">
        <v>1050</v>
      </c>
      <c r="C26" s="3" t="s">
        <v>1051</v>
      </c>
      <c r="D26" s="3" t="s">
        <v>1052</v>
      </c>
      <c r="E26" s="3" t="s">
        <v>1053</v>
      </c>
    </row>
    <row r="27" spans="1:7" ht="56" customHeight="1" x14ac:dyDescent="0.2">
      <c r="A27" s="3" t="s">
        <v>1054</v>
      </c>
      <c r="B27" s="3" t="s">
        <v>1055</v>
      </c>
      <c r="C27" s="3" t="s">
        <v>1056</v>
      </c>
      <c r="D27" s="3" t="s">
        <v>1057</v>
      </c>
      <c r="E27" s="3" t="s">
        <v>1058</v>
      </c>
    </row>
    <row r="28" spans="1:7" ht="48" customHeight="1" x14ac:dyDescent="0.2">
      <c r="A28" s="3" t="s">
        <v>1059</v>
      </c>
      <c r="B28" s="3" t="s">
        <v>1060</v>
      </c>
      <c r="C28" s="3" t="s">
        <v>1061</v>
      </c>
      <c r="D28" s="3" t="s">
        <v>401</v>
      </c>
      <c r="E28" s="3" t="s">
        <v>1062</v>
      </c>
    </row>
    <row r="29" spans="1:7" ht="64" customHeight="1" x14ac:dyDescent="0.2">
      <c r="A29" s="3" t="s">
        <v>1063</v>
      </c>
      <c r="B29" s="3" t="s">
        <v>1064</v>
      </c>
      <c r="C29" s="3" t="s">
        <v>1065</v>
      </c>
      <c r="D29" s="3" t="s">
        <v>1066</v>
      </c>
      <c r="E29" s="3" t="s">
        <v>1067</v>
      </c>
    </row>
    <row r="30" spans="1:7" ht="400" customHeight="1" x14ac:dyDescent="0.2">
      <c r="A30" s="2" t="s">
        <v>466</v>
      </c>
      <c r="B30" s="3" t="s">
        <v>1068</v>
      </c>
      <c r="C30" s="4"/>
      <c r="D30" s="4"/>
      <c r="E30" s="4"/>
    </row>
    <row r="31" spans="1:7" ht="46" customHeight="1" x14ac:dyDescent="0.2"/>
    <row r="32" spans="1:7" ht="46" customHeight="1" x14ac:dyDescent="0.2">
      <c r="A32" s="5" t="s">
        <v>1069</v>
      </c>
      <c r="B32" s="6" t="s">
        <v>1070</v>
      </c>
      <c r="C32" s="7"/>
      <c r="D32" s="7"/>
      <c r="E32" s="7"/>
      <c r="F32" s="7"/>
      <c r="G32" s="7"/>
    </row>
    <row r="33" spans="1:7" ht="46" customHeight="1" x14ac:dyDescent="0.2">
      <c r="A33" s="8" t="s">
        <v>382</v>
      </c>
      <c r="B33" s="9" t="s">
        <v>1071</v>
      </c>
      <c r="C33" s="3" t="s">
        <v>1072</v>
      </c>
      <c r="D33" s="3" t="s">
        <v>1073</v>
      </c>
      <c r="E33" s="3" t="s">
        <v>1074</v>
      </c>
    </row>
    <row r="34" spans="1:7" ht="46" customHeight="1" x14ac:dyDescent="0.2">
      <c r="A34" s="3" t="s">
        <v>1075</v>
      </c>
      <c r="B34" s="3" t="s">
        <v>1076</v>
      </c>
      <c r="C34" s="3" t="s">
        <v>1077</v>
      </c>
      <c r="D34" s="3" t="s">
        <v>1078</v>
      </c>
      <c r="E34" s="3" t="s">
        <v>1079</v>
      </c>
    </row>
    <row r="35" spans="1:7" ht="46" customHeight="1" x14ac:dyDescent="0.2">
      <c r="A35" s="3" t="s">
        <v>1080</v>
      </c>
      <c r="B35" s="3" t="s">
        <v>1081</v>
      </c>
      <c r="C35" s="3" t="s">
        <v>1082</v>
      </c>
      <c r="D35" s="3" t="s">
        <v>1083</v>
      </c>
      <c r="E35" s="3" t="s">
        <v>1084</v>
      </c>
    </row>
    <row r="36" spans="1:7" ht="46" customHeight="1" x14ac:dyDescent="0.2">
      <c r="A36" s="3" t="s">
        <v>1085</v>
      </c>
      <c r="B36" s="3" t="s">
        <v>1086</v>
      </c>
      <c r="C36" s="3" t="s">
        <v>1087</v>
      </c>
      <c r="D36" s="3" t="s">
        <v>1088</v>
      </c>
      <c r="E36" s="3" t="s">
        <v>1089</v>
      </c>
    </row>
    <row r="37" spans="1:7" ht="70" customHeight="1" x14ac:dyDescent="0.2">
      <c r="A37" s="3" t="s">
        <v>1090</v>
      </c>
      <c r="B37" s="3" t="s">
        <v>1091</v>
      </c>
      <c r="C37" s="3" t="s">
        <v>1092</v>
      </c>
      <c r="D37" s="3" t="s">
        <v>902</v>
      </c>
      <c r="E37" s="3" t="s">
        <v>1093</v>
      </c>
    </row>
    <row r="38" spans="1:7" ht="128" customHeight="1" x14ac:dyDescent="0.2">
      <c r="A38" s="3" t="s">
        <v>1094</v>
      </c>
      <c r="B38" s="3" t="s">
        <v>1095</v>
      </c>
      <c r="C38" s="3" t="s">
        <v>1096</v>
      </c>
      <c r="D38" s="3" t="s">
        <v>1097</v>
      </c>
      <c r="E38" s="3" t="s">
        <v>1098</v>
      </c>
    </row>
    <row r="39" spans="1:7" ht="46" customHeight="1" x14ac:dyDescent="0.2">
      <c r="A39" s="3" t="s">
        <v>1099</v>
      </c>
      <c r="B39" s="3" t="s">
        <v>1100</v>
      </c>
      <c r="C39" s="3" t="s">
        <v>1101</v>
      </c>
      <c r="D39" s="3" t="s">
        <v>1102</v>
      </c>
      <c r="E39" s="3" t="s">
        <v>1103</v>
      </c>
    </row>
    <row r="40" spans="1:7" ht="350" customHeight="1" x14ac:dyDescent="0.2">
      <c r="A40" s="2" t="s">
        <v>466</v>
      </c>
      <c r="B40" s="3" t="s">
        <v>1104</v>
      </c>
      <c r="C40" s="4"/>
      <c r="D40" s="4"/>
      <c r="E40" s="4"/>
    </row>
    <row r="41" spans="1:7" ht="46" customHeight="1" x14ac:dyDescent="0.2"/>
    <row r="42" spans="1:7" ht="46" customHeight="1" x14ac:dyDescent="0.2">
      <c r="A42" s="5" t="s">
        <v>1105</v>
      </c>
      <c r="B42" s="6" t="s">
        <v>1106</v>
      </c>
      <c r="C42" s="7"/>
      <c r="D42" s="7"/>
      <c r="E42" s="7"/>
      <c r="F42" s="7"/>
      <c r="G42" s="7"/>
    </row>
    <row r="43" spans="1:7" ht="46" customHeight="1" x14ac:dyDescent="0.2">
      <c r="A43" s="8" t="s">
        <v>382</v>
      </c>
      <c r="B43" s="9" t="s">
        <v>1107</v>
      </c>
      <c r="C43" s="3" t="s">
        <v>1108</v>
      </c>
      <c r="D43" s="3" t="s">
        <v>1109</v>
      </c>
      <c r="E43" s="3" t="s">
        <v>1110</v>
      </c>
    </row>
    <row r="44" spans="1:7" ht="46" customHeight="1" x14ac:dyDescent="0.2">
      <c r="A44" s="3" t="s">
        <v>1111</v>
      </c>
      <c r="B44" s="3" t="s">
        <v>1112</v>
      </c>
      <c r="C44" s="3" t="s">
        <v>1113</v>
      </c>
      <c r="D44" s="3" t="s">
        <v>1114</v>
      </c>
      <c r="E44" s="3" t="s">
        <v>1115</v>
      </c>
    </row>
    <row r="45" spans="1:7" ht="46" customHeight="1" x14ac:dyDescent="0.2">
      <c r="A45" s="3" t="s">
        <v>1116</v>
      </c>
      <c r="B45" s="3" t="s">
        <v>1117</v>
      </c>
      <c r="C45" s="3" t="s">
        <v>1118</v>
      </c>
      <c r="D45" s="3" t="s">
        <v>1119</v>
      </c>
      <c r="E45" s="3" t="s">
        <v>1120</v>
      </c>
    </row>
    <row r="46" spans="1:7" ht="46" customHeight="1" x14ac:dyDescent="0.2">
      <c r="A46" s="3" t="s">
        <v>1121</v>
      </c>
      <c r="B46" s="3" t="s">
        <v>1122</v>
      </c>
      <c r="C46" s="3" t="s">
        <v>1123</v>
      </c>
      <c r="D46" s="3" t="s">
        <v>1124</v>
      </c>
      <c r="E46" s="3" t="s">
        <v>1125</v>
      </c>
    </row>
    <row r="47" spans="1:7" ht="56" customHeight="1" x14ac:dyDescent="0.2">
      <c r="A47" s="3" t="s">
        <v>1094</v>
      </c>
      <c r="B47" s="3" t="s">
        <v>1126</v>
      </c>
      <c r="C47" s="3" t="s">
        <v>1127</v>
      </c>
      <c r="D47" s="3" t="s">
        <v>1128</v>
      </c>
      <c r="E47" s="3" t="s">
        <v>1129</v>
      </c>
    </row>
    <row r="48" spans="1:7" ht="64" customHeight="1" x14ac:dyDescent="0.2">
      <c r="A48" s="3" t="s">
        <v>1054</v>
      </c>
      <c r="B48" s="3" t="s">
        <v>1130</v>
      </c>
      <c r="C48" s="3" t="s">
        <v>1131</v>
      </c>
      <c r="D48" s="3" t="s">
        <v>1132</v>
      </c>
      <c r="E48" s="3" t="s">
        <v>1133</v>
      </c>
    </row>
    <row r="49" spans="1:7" ht="46" customHeight="1" x14ac:dyDescent="0.2">
      <c r="A49" s="3" t="s">
        <v>1134</v>
      </c>
      <c r="B49" s="3" t="s">
        <v>1135</v>
      </c>
      <c r="C49" s="3" t="s">
        <v>1136</v>
      </c>
      <c r="D49" s="3" t="s">
        <v>1137</v>
      </c>
      <c r="E49" s="3" t="s">
        <v>1138</v>
      </c>
    </row>
    <row r="50" spans="1:7" ht="312.5" customHeight="1" x14ac:dyDescent="0.2">
      <c r="A50" s="2" t="s">
        <v>466</v>
      </c>
      <c r="B50" s="3" t="s">
        <v>1139</v>
      </c>
      <c r="C50" s="4"/>
      <c r="D50" s="4"/>
      <c r="E50" s="4"/>
    </row>
    <row r="51" spans="1:7" ht="46" customHeight="1" x14ac:dyDescent="0.2"/>
    <row r="52" spans="1:7" ht="46" customHeight="1" x14ac:dyDescent="0.2">
      <c r="A52" s="5" t="s">
        <v>1140</v>
      </c>
      <c r="B52" s="6" t="s">
        <v>1141</v>
      </c>
      <c r="C52" s="7"/>
      <c r="D52" s="7"/>
      <c r="E52" s="7"/>
      <c r="F52" s="7"/>
      <c r="G52" s="7"/>
    </row>
    <row r="53" spans="1:7" ht="46" customHeight="1" x14ac:dyDescent="0.2">
      <c r="A53" s="8" t="s">
        <v>382</v>
      </c>
      <c r="B53" s="9" t="s">
        <v>1142</v>
      </c>
      <c r="C53" s="3" t="s">
        <v>1143</v>
      </c>
      <c r="D53" s="3" t="s">
        <v>1144</v>
      </c>
      <c r="E53" s="3" t="s">
        <v>1145</v>
      </c>
    </row>
    <row r="54" spans="1:7" ht="56" customHeight="1" x14ac:dyDescent="0.2">
      <c r="A54" s="3" t="s">
        <v>1146</v>
      </c>
      <c r="B54" s="3" t="s">
        <v>1147</v>
      </c>
      <c r="C54" s="3" t="s">
        <v>1148</v>
      </c>
      <c r="D54" s="3" t="s">
        <v>1149</v>
      </c>
      <c r="E54" s="3" t="s">
        <v>1150</v>
      </c>
    </row>
    <row r="55" spans="1:7" ht="80" customHeight="1" x14ac:dyDescent="0.2">
      <c r="A55" s="3" t="s">
        <v>1151</v>
      </c>
      <c r="B55" s="3" t="s">
        <v>1152</v>
      </c>
      <c r="C55" s="3" t="s">
        <v>1153</v>
      </c>
      <c r="D55" s="3" t="s">
        <v>1154</v>
      </c>
      <c r="E55" s="3" t="s">
        <v>1155</v>
      </c>
    </row>
    <row r="56" spans="1:7" ht="46" customHeight="1" x14ac:dyDescent="0.2">
      <c r="A56" s="3" t="s">
        <v>1156</v>
      </c>
      <c r="B56" s="3" t="s">
        <v>1157</v>
      </c>
      <c r="C56" s="3" t="s">
        <v>1158</v>
      </c>
      <c r="D56" s="3" t="s">
        <v>401</v>
      </c>
      <c r="E56" s="3" t="s">
        <v>1159</v>
      </c>
    </row>
    <row r="57" spans="1:7" ht="287.5" customHeight="1" x14ac:dyDescent="0.2">
      <c r="A57" s="2" t="s">
        <v>466</v>
      </c>
      <c r="B57" s="3" t="s">
        <v>1160</v>
      </c>
      <c r="C57" s="4"/>
      <c r="D57" s="4"/>
      <c r="E57" s="4"/>
    </row>
    <row r="58" spans="1:7" ht="46" customHeight="1" x14ac:dyDescent="0.2"/>
    <row r="59" spans="1:7" ht="46" customHeight="1" x14ac:dyDescent="0.2">
      <c r="A59" s="5" t="s">
        <v>1161</v>
      </c>
      <c r="B59" s="6" t="s">
        <v>1162</v>
      </c>
      <c r="C59" s="7"/>
      <c r="D59" s="7"/>
      <c r="E59" s="7"/>
      <c r="F59" s="7"/>
      <c r="G59" s="7"/>
    </row>
    <row r="60" spans="1:7" ht="46" customHeight="1" x14ac:dyDescent="0.2">
      <c r="A60" s="8" t="s">
        <v>382</v>
      </c>
      <c r="B60" s="9" t="s">
        <v>1163</v>
      </c>
      <c r="C60" s="3" t="s">
        <v>1164</v>
      </c>
      <c r="D60" s="3" t="s">
        <v>1165</v>
      </c>
      <c r="E60" s="3" t="s">
        <v>1166</v>
      </c>
    </row>
    <row r="61" spans="1:7" ht="46" customHeight="1" x14ac:dyDescent="0.2">
      <c r="A61" s="3" t="s">
        <v>1167</v>
      </c>
      <c r="B61" s="3" t="s">
        <v>1168</v>
      </c>
      <c r="C61" s="3" t="s">
        <v>1169</v>
      </c>
      <c r="D61" s="3" t="s">
        <v>1170</v>
      </c>
      <c r="E61" s="3" t="s">
        <v>1171</v>
      </c>
    </row>
    <row r="62" spans="1:7" ht="46" customHeight="1" x14ac:dyDescent="0.2">
      <c r="A62" s="3" t="s">
        <v>1172</v>
      </c>
      <c r="B62" s="3" t="s">
        <v>1173</v>
      </c>
      <c r="C62" s="3" t="s">
        <v>1174</v>
      </c>
      <c r="D62" s="3" t="s">
        <v>1175</v>
      </c>
      <c r="E62" s="3" t="s">
        <v>1176</v>
      </c>
    </row>
    <row r="63" spans="1:7" ht="56" customHeight="1" x14ac:dyDescent="0.2">
      <c r="A63" s="3" t="s">
        <v>1177</v>
      </c>
      <c r="B63" s="3" t="s">
        <v>1178</v>
      </c>
      <c r="C63" s="3" t="s">
        <v>1179</v>
      </c>
      <c r="D63" s="3" t="s">
        <v>1180</v>
      </c>
      <c r="E63" s="3" t="s">
        <v>1181</v>
      </c>
    </row>
    <row r="64" spans="1:7" ht="64" customHeight="1" x14ac:dyDescent="0.2">
      <c r="A64" s="3" t="s">
        <v>1182</v>
      </c>
      <c r="B64" s="3" t="s">
        <v>1183</v>
      </c>
      <c r="C64" s="3" t="s">
        <v>1184</v>
      </c>
      <c r="D64" s="3" t="s">
        <v>1185</v>
      </c>
      <c r="E64" s="3" t="s">
        <v>1186</v>
      </c>
    </row>
    <row r="65" spans="1:7" ht="46" customHeight="1" x14ac:dyDescent="0.2">
      <c r="A65" s="3" t="s">
        <v>1187</v>
      </c>
      <c r="B65" s="3" t="s">
        <v>1188</v>
      </c>
      <c r="C65" s="3" t="s">
        <v>1189</v>
      </c>
      <c r="D65" s="3" t="s">
        <v>401</v>
      </c>
      <c r="E65" s="3" t="s">
        <v>1190</v>
      </c>
    </row>
    <row r="66" spans="1:7" ht="325" customHeight="1" x14ac:dyDescent="0.2">
      <c r="A66" s="2" t="s">
        <v>466</v>
      </c>
      <c r="B66" s="3" t="s">
        <v>1191</v>
      </c>
      <c r="C66" s="4"/>
      <c r="D66" s="4"/>
      <c r="E66" s="4"/>
    </row>
    <row r="67" spans="1:7" ht="46" customHeight="1" x14ac:dyDescent="0.2"/>
    <row r="68" spans="1:7" ht="46" customHeight="1" x14ac:dyDescent="0.2">
      <c r="A68" s="5" t="s">
        <v>1192</v>
      </c>
      <c r="B68" s="6" t="s">
        <v>1193</v>
      </c>
      <c r="C68" s="7"/>
      <c r="D68" s="7"/>
      <c r="E68" s="7"/>
      <c r="F68" s="7"/>
      <c r="G68" s="7"/>
    </row>
    <row r="69" spans="1:7" ht="46" customHeight="1" x14ac:dyDescent="0.2">
      <c r="A69" s="8" t="s">
        <v>382</v>
      </c>
      <c r="B69" s="9" t="s">
        <v>1194</v>
      </c>
      <c r="C69" s="3" t="s">
        <v>1195</v>
      </c>
      <c r="D69" s="3" t="s">
        <v>1196</v>
      </c>
      <c r="E69" s="3" t="s">
        <v>1197</v>
      </c>
      <c r="G69" s="3"/>
    </row>
    <row r="70" spans="1:7" ht="46" customHeight="1" x14ac:dyDescent="0.2">
      <c r="A70" s="3" t="s">
        <v>1198</v>
      </c>
      <c r="B70" s="3" t="s">
        <v>1199</v>
      </c>
      <c r="C70" s="3" t="s">
        <v>1200</v>
      </c>
      <c r="D70" s="3" t="s">
        <v>1201</v>
      </c>
      <c r="E70" s="3" t="s">
        <v>1202</v>
      </c>
    </row>
    <row r="71" spans="1:7" ht="56" customHeight="1" x14ac:dyDescent="0.2">
      <c r="A71" s="3" t="s">
        <v>1203</v>
      </c>
      <c r="B71" s="3" t="s">
        <v>1204</v>
      </c>
      <c r="C71" s="3" t="s">
        <v>1205</v>
      </c>
      <c r="D71" s="3" t="s">
        <v>1206</v>
      </c>
      <c r="E71" s="3" t="s">
        <v>1207</v>
      </c>
    </row>
    <row r="72" spans="1:7" ht="64" customHeight="1" x14ac:dyDescent="0.2">
      <c r="A72" s="3" t="s">
        <v>1208</v>
      </c>
      <c r="B72" s="3" t="s">
        <v>1209</v>
      </c>
      <c r="C72" s="3" t="s">
        <v>1210</v>
      </c>
      <c r="D72" s="3" t="s">
        <v>1211</v>
      </c>
      <c r="E72" s="3" t="s">
        <v>1212</v>
      </c>
    </row>
    <row r="73" spans="1:7" ht="46" customHeight="1" x14ac:dyDescent="0.2">
      <c r="A73" s="3" t="s">
        <v>1213</v>
      </c>
      <c r="B73" s="3" t="s">
        <v>1214</v>
      </c>
      <c r="C73" s="3" t="s">
        <v>1215</v>
      </c>
      <c r="D73" s="3" t="s">
        <v>1216</v>
      </c>
      <c r="E73" s="3" t="s">
        <v>1217</v>
      </c>
    </row>
    <row r="74" spans="1:7" ht="400" customHeight="1" x14ac:dyDescent="0.2">
      <c r="A74" s="2" t="s">
        <v>466</v>
      </c>
      <c r="B74" s="3" t="s">
        <v>1218</v>
      </c>
      <c r="C74" s="4"/>
      <c r="D74" s="4"/>
      <c r="E74" s="4"/>
    </row>
    <row r="75" spans="1:7" ht="46" customHeight="1" x14ac:dyDescent="0.2"/>
    <row r="76" spans="1:7" ht="46" customHeight="1" x14ac:dyDescent="0.2">
      <c r="A76" s="5" t="s">
        <v>1219</v>
      </c>
      <c r="B76" s="6" t="s">
        <v>1220</v>
      </c>
      <c r="C76" s="7"/>
      <c r="D76" s="7"/>
      <c r="E76" s="7"/>
      <c r="F76" s="7"/>
      <c r="G76" s="7"/>
    </row>
    <row r="77" spans="1:7" ht="46" customHeight="1" x14ac:dyDescent="0.2">
      <c r="A77" s="8" t="s">
        <v>382</v>
      </c>
      <c r="B77" s="9" t="s">
        <v>1221</v>
      </c>
      <c r="C77" s="3" t="s">
        <v>1222</v>
      </c>
      <c r="D77" s="3" t="s">
        <v>1223</v>
      </c>
      <c r="E77" s="3" t="s">
        <v>1224</v>
      </c>
    </row>
    <row r="78" spans="1:7" ht="46" customHeight="1" x14ac:dyDescent="0.2">
      <c r="A78" s="3" t="s">
        <v>1225</v>
      </c>
      <c r="B78" s="3" t="s">
        <v>1226</v>
      </c>
      <c r="C78" s="3" t="s">
        <v>1227</v>
      </c>
      <c r="D78" s="3" t="s">
        <v>1228</v>
      </c>
      <c r="E78" s="3" t="s">
        <v>1229</v>
      </c>
    </row>
    <row r="79" spans="1:7" ht="42" customHeight="1" x14ac:dyDescent="0.2">
      <c r="A79" s="3" t="s">
        <v>1230</v>
      </c>
      <c r="B79" s="3" t="s">
        <v>1231</v>
      </c>
      <c r="C79" s="3" t="s">
        <v>1232</v>
      </c>
      <c r="D79" s="3" t="s">
        <v>1233</v>
      </c>
      <c r="E79" s="3" t="s">
        <v>1234</v>
      </c>
    </row>
    <row r="80" spans="1:7" ht="64" customHeight="1" x14ac:dyDescent="0.2">
      <c r="A80" s="3" t="s">
        <v>1235</v>
      </c>
      <c r="B80" s="3" t="s">
        <v>1236</v>
      </c>
      <c r="C80" s="3" t="s">
        <v>1237</v>
      </c>
      <c r="D80" s="3" t="s">
        <v>1238</v>
      </c>
      <c r="E80" s="3" t="s">
        <v>1239</v>
      </c>
    </row>
    <row r="81" spans="1:5" ht="48" customHeight="1" x14ac:dyDescent="0.2">
      <c r="A81" s="3" t="s">
        <v>1240</v>
      </c>
      <c r="B81" s="3" t="s">
        <v>1241</v>
      </c>
      <c r="C81" s="3" t="s">
        <v>1242</v>
      </c>
      <c r="D81" s="3" t="s">
        <v>1243</v>
      </c>
      <c r="E81" s="3" t="s">
        <v>1244</v>
      </c>
    </row>
    <row r="82" spans="1:5" ht="128" customHeight="1" x14ac:dyDescent="0.2">
      <c r="A82" s="2" t="s">
        <v>466</v>
      </c>
      <c r="B82" s="3" t="s">
        <v>1245</v>
      </c>
      <c r="C82" s="4"/>
      <c r="D82" s="4"/>
      <c r="E82" s="4"/>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66"/>
  <sheetViews>
    <sheetView tabSelected="1" zoomScale="158" workbookViewId="0">
      <pane ySplit="1" topLeftCell="A55" activePane="bottomLeft" state="frozen"/>
      <selection pane="bottomLeft" activeCell="A60" sqref="A60"/>
    </sheetView>
  </sheetViews>
  <sheetFormatPr baseColWidth="10" defaultColWidth="8.83203125" defaultRowHeight="15" x14ac:dyDescent="0.2"/>
  <cols>
    <col min="1" max="1" width="30" customWidth="1"/>
    <col min="2" max="2" width="58" customWidth="1"/>
    <col min="3" max="3" width="42" customWidth="1"/>
    <col min="4" max="4" width="30" customWidth="1"/>
    <col min="5" max="5" width="32" customWidth="1"/>
    <col min="6" max="6" width="11" customWidth="1"/>
    <col min="7" max="7" width="24" customWidth="1"/>
  </cols>
  <sheetData>
    <row r="1" spans="1:7" ht="26" customHeight="1" x14ac:dyDescent="0.2">
      <c r="A1" s="1" t="s">
        <v>375</v>
      </c>
      <c r="B1" s="1" t="s">
        <v>376</v>
      </c>
      <c r="C1" s="1" t="s">
        <v>377</v>
      </c>
      <c r="D1" s="1" t="s">
        <v>378</v>
      </c>
      <c r="E1" s="1" t="s">
        <v>379</v>
      </c>
      <c r="F1" s="1" t="s">
        <v>5</v>
      </c>
      <c r="G1" s="1" t="s">
        <v>187</v>
      </c>
    </row>
    <row r="2" spans="1:7" ht="46" customHeight="1" x14ac:dyDescent="0.2">
      <c r="A2" s="5" t="s">
        <v>1246</v>
      </c>
      <c r="B2" s="6" t="s">
        <v>1247</v>
      </c>
      <c r="C2" s="7"/>
      <c r="D2" s="7"/>
      <c r="E2" s="7"/>
      <c r="F2" s="7"/>
      <c r="G2" s="7"/>
    </row>
    <row r="3" spans="1:7" ht="400" customHeight="1" x14ac:dyDescent="0.2">
      <c r="A3" s="8" t="s">
        <v>382</v>
      </c>
      <c r="B3" s="9" t="s">
        <v>1248</v>
      </c>
      <c r="C3" s="3" t="s">
        <v>1249</v>
      </c>
      <c r="D3" s="3" t="s">
        <v>1250</v>
      </c>
      <c r="E3" s="3" t="s">
        <v>1251</v>
      </c>
    </row>
    <row r="4" spans="1:7" ht="46" customHeight="1" x14ac:dyDescent="0.2">
      <c r="A4" s="3" t="s">
        <v>1252</v>
      </c>
      <c r="B4" s="3" t="s">
        <v>1253</v>
      </c>
      <c r="C4" s="3" t="s">
        <v>1254</v>
      </c>
      <c r="D4" s="3" t="s">
        <v>1255</v>
      </c>
      <c r="E4" s="3" t="s">
        <v>1256</v>
      </c>
    </row>
    <row r="5" spans="1:7" ht="46" customHeight="1" x14ac:dyDescent="0.2">
      <c r="A5" s="3" t="s">
        <v>1257</v>
      </c>
      <c r="B5" s="3" t="s">
        <v>1258</v>
      </c>
      <c r="C5" s="3" t="s">
        <v>1259</v>
      </c>
      <c r="D5" s="3" t="s">
        <v>1260</v>
      </c>
      <c r="E5" s="3" t="s">
        <v>1261</v>
      </c>
    </row>
    <row r="6" spans="1:7" ht="46" customHeight="1" x14ac:dyDescent="0.2">
      <c r="A6" s="3" t="s">
        <v>1262</v>
      </c>
      <c r="B6" s="3" t="s">
        <v>1263</v>
      </c>
      <c r="C6" s="3" t="s">
        <v>1264</v>
      </c>
      <c r="D6" s="3" t="s">
        <v>1265</v>
      </c>
      <c r="E6" s="3" t="s">
        <v>1266</v>
      </c>
    </row>
    <row r="7" spans="1:7" ht="46" customHeight="1" x14ac:dyDescent="0.2">
      <c r="A7" s="3" t="s">
        <v>1267</v>
      </c>
      <c r="B7" s="3" t="s">
        <v>1268</v>
      </c>
      <c r="C7" s="3" t="s">
        <v>1269</v>
      </c>
      <c r="D7" s="3" t="s">
        <v>1270</v>
      </c>
      <c r="E7" s="3" t="s">
        <v>1271</v>
      </c>
    </row>
    <row r="8" spans="1:7" ht="46" customHeight="1" x14ac:dyDescent="0.2">
      <c r="A8" s="3" t="s">
        <v>1272</v>
      </c>
      <c r="B8" s="3" t="s">
        <v>1273</v>
      </c>
      <c r="C8" s="3" t="s">
        <v>1274</v>
      </c>
      <c r="D8" s="3" t="s">
        <v>1275</v>
      </c>
      <c r="E8" s="3" t="s">
        <v>1276</v>
      </c>
    </row>
    <row r="9" spans="1:7" ht="46" customHeight="1" x14ac:dyDescent="0.2">
      <c r="A9" s="3" t="s">
        <v>1277</v>
      </c>
      <c r="B9" s="3" t="s">
        <v>1278</v>
      </c>
      <c r="C9" s="3" t="s">
        <v>1279</v>
      </c>
      <c r="D9" s="3" t="s">
        <v>1280</v>
      </c>
      <c r="E9" s="3" t="s">
        <v>1281</v>
      </c>
    </row>
    <row r="10" spans="1:7" ht="46" customHeight="1" x14ac:dyDescent="0.2">
      <c r="A10" s="3" t="s">
        <v>1282</v>
      </c>
      <c r="B10" s="3" t="s">
        <v>1283</v>
      </c>
      <c r="C10" s="3" t="s">
        <v>1284</v>
      </c>
      <c r="D10" s="3" t="s">
        <v>1285</v>
      </c>
      <c r="E10" s="3" t="s">
        <v>1286</v>
      </c>
    </row>
    <row r="11" spans="1:7" ht="46" customHeight="1" x14ac:dyDescent="0.2">
      <c r="A11" s="3" t="s">
        <v>1287</v>
      </c>
      <c r="B11" s="3" t="s">
        <v>1288</v>
      </c>
      <c r="C11" s="3" t="s">
        <v>1289</v>
      </c>
      <c r="D11" s="3" t="s">
        <v>1290</v>
      </c>
      <c r="E11" s="3" t="s">
        <v>1291</v>
      </c>
    </row>
    <row r="12" spans="1:7" ht="46" customHeight="1" x14ac:dyDescent="0.2">
      <c r="A12" s="3" t="s">
        <v>447</v>
      </c>
      <c r="B12" s="3" t="s">
        <v>1292</v>
      </c>
      <c r="C12" s="3" t="s">
        <v>1293</v>
      </c>
      <c r="D12" s="3" t="s">
        <v>1294</v>
      </c>
      <c r="E12" s="3" t="s">
        <v>1295</v>
      </c>
    </row>
    <row r="13" spans="1:7" ht="70" customHeight="1" x14ac:dyDescent="0.2">
      <c r="A13" s="2" t="s">
        <v>466</v>
      </c>
      <c r="B13" s="3" t="s">
        <v>1296</v>
      </c>
      <c r="C13" s="4"/>
      <c r="D13" s="4"/>
      <c r="E13" s="4"/>
    </row>
    <row r="15" spans="1:7" ht="46" customHeight="1" x14ac:dyDescent="0.2">
      <c r="A15" s="5" t="s">
        <v>1297</v>
      </c>
      <c r="B15" s="6" t="s">
        <v>1298</v>
      </c>
      <c r="C15" s="7"/>
      <c r="D15" s="7"/>
      <c r="E15" s="7"/>
      <c r="F15" s="7"/>
      <c r="G15" s="7"/>
    </row>
    <row r="16" spans="1:7" ht="400" customHeight="1" x14ac:dyDescent="0.2">
      <c r="A16" s="8" t="s">
        <v>382</v>
      </c>
      <c r="B16" s="9" t="s">
        <v>1299</v>
      </c>
      <c r="C16" s="3" t="s">
        <v>1300</v>
      </c>
      <c r="D16" s="3" t="s">
        <v>1301</v>
      </c>
      <c r="E16" s="3" t="s">
        <v>1302</v>
      </c>
      <c r="G16" s="3"/>
    </row>
    <row r="17" spans="1:7" ht="46" customHeight="1" x14ac:dyDescent="0.2">
      <c r="A17" s="3" t="s">
        <v>1303</v>
      </c>
      <c r="B17" s="3" t="s">
        <v>1304</v>
      </c>
      <c r="C17" s="3" t="s">
        <v>1305</v>
      </c>
      <c r="D17" s="3" t="s">
        <v>1306</v>
      </c>
      <c r="E17" s="3" t="s">
        <v>1307</v>
      </c>
    </row>
    <row r="18" spans="1:7" ht="46" customHeight="1" x14ac:dyDescent="0.2">
      <c r="A18" s="3" t="s">
        <v>1308</v>
      </c>
      <c r="B18" s="3" t="s">
        <v>1309</v>
      </c>
      <c r="C18" s="3" t="s">
        <v>1310</v>
      </c>
      <c r="D18" s="3" t="s">
        <v>1311</v>
      </c>
      <c r="E18" s="3" t="s">
        <v>1312</v>
      </c>
    </row>
    <row r="19" spans="1:7" ht="46" customHeight="1" x14ac:dyDescent="0.2">
      <c r="A19" s="3" t="s">
        <v>1313</v>
      </c>
      <c r="B19" s="3" t="s">
        <v>1314</v>
      </c>
      <c r="C19" s="3" t="s">
        <v>1315</v>
      </c>
      <c r="D19" s="3" t="s">
        <v>1316</v>
      </c>
      <c r="E19" s="3" t="s">
        <v>1317</v>
      </c>
    </row>
    <row r="20" spans="1:7" ht="46" customHeight="1" x14ac:dyDescent="0.2">
      <c r="A20" s="3" t="s">
        <v>1318</v>
      </c>
      <c r="B20" s="3" t="s">
        <v>1319</v>
      </c>
      <c r="C20" s="3" t="s">
        <v>1320</v>
      </c>
      <c r="D20" s="3" t="s">
        <v>1321</v>
      </c>
      <c r="E20" s="3" t="s">
        <v>1322</v>
      </c>
    </row>
    <row r="21" spans="1:7" ht="46" customHeight="1" x14ac:dyDescent="0.2">
      <c r="A21" s="3" t="s">
        <v>447</v>
      </c>
      <c r="B21" s="3" t="s">
        <v>1323</v>
      </c>
      <c r="C21" s="3" t="s">
        <v>1324</v>
      </c>
      <c r="D21" s="3" t="s">
        <v>509</v>
      </c>
      <c r="E21" s="3" t="s">
        <v>1325</v>
      </c>
    </row>
    <row r="22" spans="1:7" ht="46" customHeight="1" x14ac:dyDescent="0.2">
      <c r="A22" s="3" t="s">
        <v>1326</v>
      </c>
      <c r="B22" s="3" t="s">
        <v>1327</v>
      </c>
      <c r="C22" s="3" t="s">
        <v>1328</v>
      </c>
      <c r="D22" s="3" t="s">
        <v>1329</v>
      </c>
      <c r="E22" s="3" t="s">
        <v>1330</v>
      </c>
    </row>
    <row r="23" spans="1:7" ht="84" customHeight="1" x14ac:dyDescent="0.2">
      <c r="A23" s="2" t="s">
        <v>466</v>
      </c>
      <c r="B23" s="3" t="s">
        <v>1331</v>
      </c>
      <c r="C23" s="4"/>
      <c r="D23" s="4"/>
      <c r="E23" s="4"/>
    </row>
    <row r="25" spans="1:7" ht="46" customHeight="1" x14ac:dyDescent="0.2">
      <c r="A25" s="5" t="s">
        <v>1332</v>
      </c>
      <c r="B25" s="6" t="s">
        <v>1333</v>
      </c>
      <c r="C25" s="7"/>
      <c r="D25" s="7"/>
      <c r="E25" s="7"/>
      <c r="F25" s="7"/>
      <c r="G25" s="7"/>
    </row>
    <row r="26" spans="1:7" ht="312.5" customHeight="1" x14ac:dyDescent="0.2">
      <c r="A26" s="8" t="s">
        <v>382</v>
      </c>
      <c r="B26" s="9" t="s">
        <v>1334</v>
      </c>
      <c r="C26" s="3" t="s">
        <v>1335</v>
      </c>
      <c r="D26" s="3" t="s">
        <v>1336</v>
      </c>
      <c r="E26" s="3" t="s">
        <v>1337</v>
      </c>
    </row>
    <row r="27" spans="1:7" ht="46" customHeight="1" x14ac:dyDescent="0.2">
      <c r="A27" s="3" t="s">
        <v>1338</v>
      </c>
      <c r="B27" s="3" t="s">
        <v>1339</v>
      </c>
      <c r="C27" s="3" t="s">
        <v>1340</v>
      </c>
      <c r="D27" s="3" t="s">
        <v>1341</v>
      </c>
      <c r="E27" s="3" t="s">
        <v>1342</v>
      </c>
    </row>
    <row r="28" spans="1:7" ht="46" customHeight="1" x14ac:dyDescent="0.2">
      <c r="A28" s="3" t="s">
        <v>1343</v>
      </c>
      <c r="B28" s="3" t="s">
        <v>1344</v>
      </c>
      <c r="C28" s="3" t="s">
        <v>1345</v>
      </c>
      <c r="D28" s="3" t="s">
        <v>1346</v>
      </c>
      <c r="E28" s="3" t="s">
        <v>1347</v>
      </c>
    </row>
    <row r="29" spans="1:7" ht="46" customHeight="1" x14ac:dyDescent="0.2">
      <c r="A29" s="3" t="s">
        <v>1348</v>
      </c>
      <c r="B29" s="3" t="s">
        <v>1349</v>
      </c>
      <c r="C29" s="3" t="s">
        <v>1350</v>
      </c>
      <c r="D29" s="3" t="s">
        <v>1351</v>
      </c>
      <c r="E29" s="3" t="s">
        <v>1352</v>
      </c>
    </row>
    <row r="30" spans="1:7" ht="46" customHeight="1" x14ac:dyDescent="0.2">
      <c r="A30" s="3" t="s">
        <v>1353</v>
      </c>
      <c r="B30" s="3" t="s">
        <v>1354</v>
      </c>
      <c r="C30" s="3" t="s">
        <v>1355</v>
      </c>
      <c r="D30" s="3" t="s">
        <v>1356</v>
      </c>
      <c r="E30" s="3" t="s">
        <v>1357</v>
      </c>
    </row>
    <row r="31" spans="1:7" ht="46" customHeight="1" x14ac:dyDescent="0.2">
      <c r="A31" s="3" t="s">
        <v>1358</v>
      </c>
      <c r="B31" s="3" t="s">
        <v>1359</v>
      </c>
      <c r="C31" s="3" t="s">
        <v>1360</v>
      </c>
      <c r="D31" s="3" t="s">
        <v>1361</v>
      </c>
      <c r="E31" s="3" t="s">
        <v>1362</v>
      </c>
    </row>
    <row r="32" spans="1:7" ht="70" customHeight="1" x14ac:dyDescent="0.2">
      <c r="A32" s="2" t="s">
        <v>466</v>
      </c>
      <c r="B32" s="3" t="s">
        <v>1363</v>
      </c>
      <c r="C32" s="4"/>
      <c r="D32" s="4"/>
      <c r="E32" s="4"/>
    </row>
    <row r="34" spans="1:7" ht="46" customHeight="1" x14ac:dyDescent="0.2">
      <c r="A34" s="5" t="s">
        <v>1364</v>
      </c>
      <c r="B34" s="6" t="s">
        <v>1365</v>
      </c>
      <c r="C34" s="7"/>
      <c r="D34" s="7"/>
      <c r="E34" s="7"/>
      <c r="F34" s="7"/>
      <c r="G34" s="7"/>
    </row>
    <row r="35" spans="1:7" ht="400" customHeight="1" x14ac:dyDescent="0.2">
      <c r="A35" s="8" t="s">
        <v>382</v>
      </c>
      <c r="B35" s="9" t="s">
        <v>1366</v>
      </c>
      <c r="C35" s="3" t="s">
        <v>1367</v>
      </c>
      <c r="D35" s="3" t="s">
        <v>1368</v>
      </c>
      <c r="E35" s="3" t="s">
        <v>1369</v>
      </c>
    </row>
    <row r="36" spans="1:7" ht="46" customHeight="1" x14ac:dyDescent="0.2">
      <c r="A36" s="3" t="s">
        <v>1370</v>
      </c>
      <c r="B36" s="3" t="s">
        <v>1371</v>
      </c>
      <c r="C36" s="3" t="s">
        <v>1372</v>
      </c>
      <c r="D36" s="3" t="s">
        <v>1373</v>
      </c>
      <c r="E36" s="3" t="s">
        <v>1374</v>
      </c>
    </row>
    <row r="37" spans="1:7" ht="46" customHeight="1" x14ac:dyDescent="0.2">
      <c r="A37" s="3" t="s">
        <v>1375</v>
      </c>
      <c r="B37" s="3" t="s">
        <v>1376</v>
      </c>
      <c r="C37" s="3" t="s">
        <v>1377</v>
      </c>
      <c r="D37" s="3" t="s">
        <v>1378</v>
      </c>
      <c r="E37" s="3" t="s">
        <v>1379</v>
      </c>
    </row>
    <row r="38" spans="1:7" ht="46" customHeight="1" x14ac:dyDescent="0.2">
      <c r="A38" s="3" t="s">
        <v>1380</v>
      </c>
      <c r="B38" s="3" t="s">
        <v>1381</v>
      </c>
      <c r="C38" s="3" t="s">
        <v>1382</v>
      </c>
      <c r="D38" s="3" t="s">
        <v>1383</v>
      </c>
      <c r="E38" s="3" t="s">
        <v>1384</v>
      </c>
    </row>
    <row r="39" spans="1:7" ht="46" customHeight="1" x14ac:dyDescent="0.2">
      <c r="A39" s="3" t="s">
        <v>1385</v>
      </c>
      <c r="B39" s="3" t="s">
        <v>1386</v>
      </c>
      <c r="C39" s="3" t="s">
        <v>1387</v>
      </c>
      <c r="D39" s="3" t="s">
        <v>1388</v>
      </c>
      <c r="E39" s="3" t="s">
        <v>1389</v>
      </c>
    </row>
    <row r="40" spans="1:7" ht="46" customHeight="1" x14ac:dyDescent="0.2">
      <c r="A40" s="3" t="s">
        <v>1390</v>
      </c>
      <c r="B40" s="3" t="s">
        <v>1391</v>
      </c>
      <c r="C40" s="3" t="s">
        <v>1392</v>
      </c>
      <c r="D40" s="3" t="s">
        <v>1393</v>
      </c>
      <c r="E40" s="3" t="s">
        <v>1394</v>
      </c>
    </row>
    <row r="41" spans="1:7" ht="46" customHeight="1" x14ac:dyDescent="0.2">
      <c r="A41" s="3" t="s">
        <v>1395</v>
      </c>
      <c r="B41" s="3" t="s">
        <v>1396</v>
      </c>
      <c r="C41" s="3" t="s">
        <v>1397</v>
      </c>
      <c r="D41" s="3" t="s">
        <v>1398</v>
      </c>
      <c r="E41" s="3" t="s">
        <v>1399</v>
      </c>
    </row>
    <row r="42" spans="1:7" ht="46" customHeight="1" x14ac:dyDescent="0.2">
      <c r="A42" s="3" t="s">
        <v>1400</v>
      </c>
      <c r="B42" s="3" t="s">
        <v>1401</v>
      </c>
      <c r="C42" s="3" t="s">
        <v>1402</v>
      </c>
      <c r="D42" s="3" t="s">
        <v>1403</v>
      </c>
      <c r="E42" s="3" t="s">
        <v>1404</v>
      </c>
    </row>
    <row r="43" spans="1:7" ht="70" customHeight="1" x14ac:dyDescent="0.2">
      <c r="A43" s="2" t="s">
        <v>466</v>
      </c>
      <c r="B43" s="3" t="s">
        <v>1405</v>
      </c>
      <c r="C43" s="4"/>
      <c r="D43" s="4"/>
      <c r="E43" s="4"/>
    </row>
    <row r="45" spans="1:7" ht="46" customHeight="1" x14ac:dyDescent="0.2">
      <c r="A45" s="5" t="s">
        <v>1406</v>
      </c>
      <c r="B45" s="6" t="s">
        <v>1407</v>
      </c>
      <c r="C45" s="7"/>
      <c r="D45" s="7"/>
      <c r="E45" s="7"/>
      <c r="F45" s="7"/>
      <c r="G45" s="7"/>
    </row>
    <row r="46" spans="1:7" ht="325" customHeight="1" x14ac:dyDescent="0.2">
      <c r="A46" s="8" t="s">
        <v>382</v>
      </c>
      <c r="B46" s="9" t="s">
        <v>1408</v>
      </c>
      <c r="C46" s="3" t="s">
        <v>1409</v>
      </c>
      <c r="D46" s="3" t="s">
        <v>1410</v>
      </c>
      <c r="E46" s="3" t="s">
        <v>1411</v>
      </c>
    </row>
    <row r="47" spans="1:7" ht="46" customHeight="1" x14ac:dyDescent="0.2">
      <c r="A47" s="3" t="s">
        <v>1412</v>
      </c>
      <c r="B47" s="3" t="s">
        <v>1413</v>
      </c>
      <c r="C47" s="3" t="s">
        <v>1414</v>
      </c>
      <c r="D47" s="3" t="s">
        <v>1415</v>
      </c>
      <c r="E47" s="3" t="s">
        <v>1416</v>
      </c>
    </row>
    <row r="48" spans="1:7" ht="46" customHeight="1" x14ac:dyDescent="0.2">
      <c r="A48" s="3" t="s">
        <v>1417</v>
      </c>
      <c r="B48" s="3" t="s">
        <v>1418</v>
      </c>
      <c r="C48" s="3" t="s">
        <v>1419</v>
      </c>
      <c r="D48" s="3" t="s">
        <v>1420</v>
      </c>
      <c r="E48" s="3" t="s">
        <v>1421</v>
      </c>
    </row>
    <row r="49" spans="1:7" ht="46" customHeight="1" x14ac:dyDescent="0.2">
      <c r="A49" s="3" t="s">
        <v>1422</v>
      </c>
      <c r="B49" s="3" t="s">
        <v>1423</v>
      </c>
      <c r="C49" s="3" t="s">
        <v>1424</v>
      </c>
      <c r="D49" s="3" t="s">
        <v>1425</v>
      </c>
      <c r="E49" s="3" t="s">
        <v>1426</v>
      </c>
    </row>
    <row r="50" spans="1:7" ht="46" customHeight="1" x14ac:dyDescent="0.2">
      <c r="A50" s="3" t="s">
        <v>1427</v>
      </c>
      <c r="B50" s="3" t="s">
        <v>1428</v>
      </c>
      <c r="C50" s="3" t="s">
        <v>1429</v>
      </c>
      <c r="D50" s="3" t="s">
        <v>1430</v>
      </c>
      <c r="E50" s="3" t="s">
        <v>1431</v>
      </c>
    </row>
    <row r="51" spans="1:7" ht="46" customHeight="1" x14ac:dyDescent="0.2">
      <c r="A51" s="3" t="s">
        <v>1432</v>
      </c>
      <c r="B51" s="3" t="s">
        <v>1433</v>
      </c>
      <c r="C51" s="3" t="s">
        <v>1434</v>
      </c>
      <c r="D51" s="3" t="s">
        <v>1435</v>
      </c>
      <c r="E51" s="3" t="s">
        <v>1436</v>
      </c>
    </row>
    <row r="52" spans="1:7" ht="70" customHeight="1" x14ac:dyDescent="0.2">
      <c r="A52" s="2" t="s">
        <v>466</v>
      </c>
      <c r="B52" s="3" t="s">
        <v>1437</v>
      </c>
      <c r="C52" s="4"/>
      <c r="D52" s="4"/>
      <c r="E52" s="4"/>
    </row>
    <row r="54" spans="1:7" ht="46" customHeight="1" x14ac:dyDescent="0.2">
      <c r="A54" s="5" t="s">
        <v>1438</v>
      </c>
      <c r="B54" s="6" t="s">
        <v>1439</v>
      </c>
      <c r="C54" s="7"/>
      <c r="D54" s="7"/>
      <c r="E54" s="7"/>
      <c r="F54" s="7"/>
      <c r="G54" s="7"/>
    </row>
    <row r="55" spans="1:7" ht="325" customHeight="1" x14ac:dyDescent="0.2">
      <c r="A55" s="8" t="s">
        <v>382</v>
      </c>
      <c r="B55" s="9" t="s">
        <v>1440</v>
      </c>
      <c r="C55" s="3" t="s">
        <v>1441</v>
      </c>
      <c r="D55" s="3" t="s">
        <v>1442</v>
      </c>
      <c r="E55" s="3" t="s">
        <v>1443</v>
      </c>
    </row>
    <row r="56" spans="1:7" ht="46" customHeight="1" x14ac:dyDescent="0.2">
      <c r="A56" s="3" t="s">
        <v>1444</v>
      </c>
      <c r="B56" s="3" t="s">
        <v>1445</v>
      </c>
      <c r="C56" s="3" t="s">
        <v>1446</v>
      </c>
      <c r="D56" s="3" t="s">
        <v>1447</v>
      </c>
      <c r="E56" s="3" t="s">
        <v>1448</v>
      </c>
    </row>
    <row r="57" spans="1:7" ht="46" customHeight="1" x14ac:dyDescent="0.2">
      <c r="A57" s="3" t="s">
        <v>1449</v>
      </c>
      <c r="B57" s="3" t="s">
        <v>1450</v>
      </c>
      <c r="C57" s="3" t="s">
        <v>1451</v>
      </c>
      <c r="D57" s="3" t="s">
        <v>1452</v>
      </c>
      <c r="E57" s="3" t="s">
        <v>1453</v>
      </c>
    </row>
    <row r="58" spans="1:7" ht="46" customHeight="1" x14ac:dyDescent="0.2">
      <c r="A58" s="3" t="s">
        <v>1454</v>
      </c>
      <c r="B58" s="3" t="s">
        <v>1455</v>
      </c>
      <c r="C58" s="3" t="s">
        <v>1456</v>
      </c>
      <c r="D58" s="3" t="s">
        <v>1457</v>
      </c>
      <c r="E58" s="3" t="s">
        <v>1458</v>
      </c>
    </row>
    <row r="59" spans="1:7" ht="42" customHeight="1" x14ac:dyDescent="0.2">
      <c r="A59" s="2" t="s">
        <v>466</v>
      </c>
      <c r="B59" s="3" t="s">
        <v>1459</v>
      </c>
      <c r="C59" s="4"/>
      <c r="D59" s="4"/>
      <c r="E59" s="4"/>
    </row>
    <row r="61" spans="1:7" ht="42" customHeight="1" x14ac:dyDescent="0.2">
      <c r="A61" s="5" t="s">
        <v>1460</v>
      </c>
      <c r="B61" s="6" t="s">
        <v>1461</v>
      </c>
      <c r="C61" s="7"/>
      <c r="D61" s="7"/>
      <c r="E61" s="7"/>
      <c r="F61" s="7"/>
      <c r="G61" s="7"/>
    </row>
    <row r="62" spans="1:7" ht="270" customHeight="1" x14ac:dyDescent="0.2">
      <c r="A62" s="8" t="s">
        <v>382</v>
      </c>
      <c r="B62" s="14" t="s">
        <v>1462</v>
      </c>
      <c r="C62" s="3"/>
      <c r="D62" s="3"/>
      <c r="E62" s="3"/>
    </row>
    <row r="63" spans="1:7" ht="64" customHeight="1" x14ac:dyDescent="0.2">
      <c r="A63" s="3" t="s">
        <v>1463</v>
      </c>
      <c r="B63" s="3" t="s">
        <v>1464</v>
      </c>
      <c r="C63" s="3" t="s">
        <v>1465</v>
      </c>
      <c r="D63" s="3" t="s">
        <v>1466</v>
      </c>
      <c r="E63" s="3" t="s">
        <v>1467</v>
      </c>
    </row>
    <row r="64" spans="1:7" ht="64" customHeight="1" x14ac:dyDescent="0.2">
      <c r="A64" s="3" t="s">
        <v>1468</v>
      </c>
      <c r="B64" s="3" t="s">
        <v>1469</v>
      </c>
      <c r="C64" s="3" t="s">
        <v>1470</v>
      </c>
      <c r="D64" s="3" t="s">
        <v>400</v>
      </c>
      <c r="E64" s="3" t="s">
        <v>1471</v>
      </c>
    </row>
    <row r="65" spans="1:5" ht="64" customHeight="1" x14ac:dyDescent="0.2">
      <c r="A65" s="3" t="s">
        <v>946</v>
      </c>
      <c r="B65" s="3" t="s">
        <v>1472</v>
      </c>
      <c r="C65" s="3" t="s">
        <v>948</v>
      </c>
      <c r="D65" s="3" t="s">
        <v>400</v>
      </c>
      <c r="E65" s="3" t="s">
        <v>949</v>
      </c>
    </row>
    <row r="66" spans="1:5" ht="90" customHeight="1" x14ac:dyDescent="0.2">
      <c r="A66" s="2" t="s">
        <v>466</v>
      </c>
      <c r="B66" s="3" t="s">
        <v>1473</v>
      </c>
      <c r="C66" s="4"/>
      <c r="D66" s="4"/>
      <c r="E66" s="4"/>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68"/>
  <sheetViews>
    <sheetView zoomScale="175" workbookViewId="0">
      <pane ySplit="1" topLeftCell="A3" activePane="bottomLeft" state="frozen"/>
      <selection pane="bottomLeft" activeCell="A24" sqref="A24"/>
    </sheetView>
  </sheetViews>
  <sheetFormatPr baseColWidth="10" defaultColWidth="8.83203125" defaultRowHeight="15" x14ac:dyDescent="0.2"/>
  <cols>
    <col min="1" max="1" width="30" customWidth="1"/>
    <col min="2" max="2" width="58" customWidth="1"/>
    <col min="3" max="3" width="42" customWidth="1"/>
    <col min="4" max="4" width="30" customWidth="1"/>
    <col min="5" max="5" width="32" customWidth="1"/>
    <col min="6" max="6" width="11" customWidth="1"/>
    <col min="7" max="7" width="24" customWidth="1"/>
  </cols>
  <sheetData>
    <row r="1" spans="1:7" ht="26" customHeight="1" x14ac:dyDescent="0.2">
      <c r="A1" s="1" t="s">
        <v>375</v>
      </c>
      <c r="B1" s="1" t="s">
        <v>376</v>
      </c>
      <c r="C1" s="1" t="s">
        <v>377</v>
      </c>
      <c r="D1" s="1" t="s">
        <v>378</v>
      </c>
      <c r="E1" s="1" t="s">
        <v>379</v>
      </c>
      <c r="F1" s="1" t="s">
        <v>5</v>
      </c>
      <c r="G1" s="1" t="s">
        <v>187</v>
      </c>
    </row>
    <row r="2" spans="1:7" ht="46" customHeight="1" x14ac:dyDescent="0.2">
      <c r="A2" s="5" t="s">
        <v>1474</v>
      </c>
      <c r="B2" s="6" t="s">
        <v>1475</v>
      </c>
      <c r="C2" s="7"/>
      <c r="D2" s="7"/>
      <c r="E2" s="7"/>
      <c r="F2" s="7"/>
      <c r="G2" s="7"/>
    </row>
    <row r="3" spans="1:7" ht="362.5" customHeight="1" x14ac:dyDescent="0.2">
      <c r="A3" s="8" t="s">
        <v>382</v>
      </c>
      <c r="B3" s="9" t="s">
        <v>1476</v>
      </c>
      <c r="C3" s="3" t="s">
        <v>1477</v>
      </c>
      <c r="D3" s="3" t="s">
        <v>1478</v>
      </c>
      <c r="E3" s="3" t="s">
        <v>1479</v>
      </c>
      <c r="G3" s="3"/>
    </row>
    <row r="4" spans="1:7" ht="46" customHeight="1" x14ac:dyDescent="0.2">
      <c r="A4" s="3" t="s">
        <v>1480</v>
      </c>
      <c r="B4" s="3" t="s">
        <v>1481</v>
      </c>
      <c r="C4" s="3" t="s">
        <v>1482</v>
      </c>
      <c r="D4" s="3" t="s">
        <v>1483</v>
      </c>
      <c r="E4" s="3" t="s">
        <v>1484</v>
      </c>
    </row>
    <row r="5" spans="1:7" ht="46" customHeight="1" x14ac:dyDescent="0.2">
      <c r="A5" s="3" t="s">
        <v>1485</v>
      </c>
      <c r="B5" s="3" t="s">
        <v>1486</v>
      </c>
      <c r="C5" s="3" t="s">
        <v>1487</v>
      </c>
      <c r="D5" s="3" t="s">
        <v>1488</v>
      </c>
      <c r="E5" s="3" t="s">
        <v>1489</v>
      </c>
    </row>
    <row r="6" spans="1:7" ht="46" customHeight="1" x14ac:dyDescent="0.2">
      <c r="A6" s="3" t="s">
        <v>1490</v>
      </c>
      <c r="B6" s="3" t="s">
        <v>1491</v>
      </c>
      <c r="C6" s="3" t="s">
        <v>1492</v>
      </c>
      <c r="D6" s="3" t="s">
        <v>1493</v>
      </c>
      <c r="E6" s="3" t="s">
        <v>1494</v>
      </c>
    </row>
    <row r="7" spans="1:7" ht="46" customHeight="1" x14ac:dyDescent="0.2">
      <c r="A7" s="3" t="s">
        <v>1495</v>
      </c>
      <c r="B7" s="3" t="s">
        <v>1496</v>
      </c>
      <c r="C7" s="3" t="s">
        <v>1497</v>
      </c>
      <c r="D7" s="3" t="s">
        <v>1498</v>
      </c>
      <c r="E7" s="3" t="s">
        <v>1499</v>
      </c>
    </row>
    <row r="8" spans="1:7" ht="46" customHeight="1" x14ac:dyDescent="0.2">
      <c r="A8" s="3" t="s">
        <v>1500</v>
      </c>
      <c r="B8" s="3" t="s">
        <v>1501</v>
      </c>
      <c r="C8" s="3" t="s">
        <v>1502</v>
      </c>
      <c r="D8" s="3" t="s">
        <v>1503</v>
      </c>
      <c r="E8" s="3" t="s">
        <v>1504</v>
      </c>
    </row>
    <row r="9" spans="1:7" ht="46" customHeight="1" x14ac:dyDescent="0.2">
      <c r="A9" s="3" t="s">
        <v>1505</v>
      </c>
      <c r="B9" s="3" t="s">
        <v>1506</v>
      </c>
      <c r="C9" s="3" t="s">
        <v>1507</v>
      </c>
      <c r="D9" s="3" t="s">
        <v>1508</v>
      </c>
      <c r="E9" s="3" t="s">
        <v>1509</v>
      </c>
    </row>
    <row r="10" spans="1:7" ht="56" customHeight="1" x14ac:dyDescent="0.2">
      <c r="A10" s="2" t="s">
        <v>466</v>
      </c>
      <c r="B10" s="3" t="s">
        <v>1510</v>
      </c>
      <c r="C10" s="4"/>
      <c r="D10" s="4"/>
      <c r="E10" s="4"/>
    </row>
    <row r="12" spans="1:7" ht="46" customHeight="1" x14ac:dyDescent="0.2">
      <c r="A12" s="5" t="s">
        <v>1511</v>
      </c>
      <c r="B12" s="6" t="s">
        <v>1512</v>
      </c>
      <c r="C12" s="7"/>
      <c r="D12" s="7"/>
      <c r="E12" s="7"/>
      <c r="F12" s="7"/>
      <c r="G12" s="7"/>
    </row>
    <row r="13" spans="1:7" ht="325" customHeight="1" x14ac:dyDescent="0.2">
      <c r="A13" s="8" t="s">
        <v>382</v>
      </c>
      <c r="B13" s="9" t="s">
        <v>1513</v>
      </c>
      <c r="C13" s="3" t="s">
        <v>1514</v>
      </c>
      <c r="D13" s="3" t="s">
        <v>1515</v>
      </c>
      <c r="E13" s="3" t="s">
        <v>1516</v>
      </c>
    </row>
    <row r="14" spans="1:7" ht="46" customHeight="1" x14ac:dyDescent="0.2">
      <c r="A14" s="3" t="s">
        <v>1517</v>
      </c>
      <c r="B14" s="3" t="s">
        <v>1518</v>
      </c>
      <c r="C14" s="3" t="s">
        <v>1519</v>
      </c>
      <c r="D14" s="3" t="s">
        <v>1520</v>
      </c>
      <c r="E14" s="3" t="s">
        <v>1521</v>
      </c>
    </row>
    <row r="15" spans="1:7" ht="46" customHeight="1" x14ac:dyDescent="0.2">
      <c r="A15" s="3" t="s">
        <v>1522</v>
      </c>
      <c r="B15" s="3" t="s">
        <v>1523</v>
      </c>
      <c r="C15" s="3" t="s">
        <v>1524</v>
      </c>
      <c r="D15" s="3" t="s">
        <v>1525</v>
      </c>
      <c r="E15" s="3" t="s">
        <v>1526</v>
      </c>
      <c r="G15" s="3"/>
    </row>
    <row r="16" spans="1:7" ht="46" customHeight="1" x14ac:dyDescent="0.2">
      <c r="A16" s="3" t="s">
        <v>1527</v>
      </c>
      <c r="B16" s="3" t="s">
        <v>1528</v>
      </c>
      <c r="C16" s="3" t="s">
        <v>1529</v>
      </c>
      <c r="D16" s="3" t="s">
        <v>1530</v>
      </c>
      <c r="E16" s="3" t="s">
        <v>1531</v>
      </c>
    </row>
    <row r="17" spans="1:7" ht="46" customHeight="1" x14ac:dyDescent="0.2">
      <c r="A17" s="3" t="s">
        <v>1532</v>
      </c>
      <c r="B17" s="3" t="s">
        <v>1533</v>
      </c>
      <c r="C17" s="3" t="s">
        <v>1534</v>
      </c>
      <c r="D17" s="3" t="s">
        <v>1535</v>
      </c>
      <c r="E17" s="3" t="s">
        <v>1536</v>
      </c>
    </row>
    <row r="18" spans="1:7" ht="46" customHeight="1" x14ac:dyDescent="0.2">
      <c r="A18" s="3" t="s">
        <v>1537</v>
      </c>
      <c r="B18" s="3" t="s">
        <v>1538</v>
      </c>
      <c r="C18" s="3" t="s">
        <v>1539</v>
      </c>
      <c r="D18" s="3" t="s">
        <v>1540</v>
      </c>
      <c r="E18" s="3" t="s">
        <v>1541</v>
      </c>
    </row>
    <row r="19" spans="1:7" ht="46" customHeight="1" x14ac:dyDescent="0.2">
      <c r="A19" s="3" t="s">
        <v>1542</v>
      </c>
      <c r="B19" s="3" t="s">
        <v>1543</v>
      </c>
      <c r="C19" s="3" t="s">
        <v>1544</v>
      </c>
      <c r="D19" s="3" t="s">
        <v>1545</v>
      </c>
      <c r="E19" s="3" t="s">
        <v>1546</v>
      </c>
    </row>
    <row r="20" spans="1:7" ht="46" customHeight="1" x14ac:dyDescent="0.2">
      <c r="A20" s="3" t="s">
        <v>1547</v>
      </c>
      <c r="B20" s="3" t="s">
        <v>1548</v>
      </c>
      <c r="C20" s="3" t="s">
        <v>1549</v>
      </c>
      <c r="D20" s="3" t="s">
        <v>400</v>
      </c>
      <c r="E20" s="3" t="s">
        <v>401</v>
      </c>
    </row>
    <row r="21" spans="1:7" ht="64" customHeight="1" x14ac:dyDescent="0.2">
      <c r="A21" s="3" t="s">
        <v>1550</v>
      </c>
      <c r="B21" s="3" t="s">
        <v>1551</v>
      </c>
      <c r="C21" s="3" t="s">
        <v>1552</v>
      </c>
      <c r="D21" s="3" t="s">
        <v>400</v>
      </c>
      <c r="E21" s="3" t="s">
        <v>1553</v>
      </c>
    </row>
    <row r="22" spans="1:7" ht="409.5" customHeight="1" x14ac:dyDescent="0.2">
      <c r="A22" s="2" t="s">
        <v>466</v>
      </c>
      <c r="B22" s="3" t="s">
        <v>1554</v>
      </c>
      <c r="C22" s="4"/>
      <c r="D22" s="4"/>
      <c r="E22" s="4"/>
    </row>
    <row r="23" spans="1:7" ht="46" customHeight="1" x14ac:dyDescent="0.2"/>
    <row r="24" spans="1:7" ht="400" customHeight="1" x14ac:dyDescent="0.2">
      <c r="A24" s="5" t="s">
        <v>1555</v>
      </c>
      <c r="B24" s="6" t="s">
        <v>1556</v>
      </c>
      <c r="C24" s="7"/>
      <c r="D24" s="7"/>
      <c r="E24" s="7"/>
      <c r="F24" s="7"/>
      <c r="G24" s="7"/>
    </row>
    <row r="25" spans="1:7" ht="46" customHeight="1" x14ac:dyDescent="0.2">
      <c r="A25" s="8" t="s">
        <v>382</v>
      </c>
      <c r="B25" s="9" t="s">
        <v>1557</v>
      </c>
      <c r="C25" s="3" t="s">
        <v>1558</v>
      </c>
      <c r="D25" s="3" t="s">
        <v>1559</v>
      </c>
      <c r="E25" s="3" t="s">
        <v>1560</v>
      </c>
    </row>
    <row r="26" spans="1:7" ht="46" customHeight="1" x14ac:dyDescent="0.2">
      <c r="A26" s="3" t="s">
        <v>1561</v>
      </c>
      <c r="B26" s="3" t="s">
        <v>1562</v>
      </c>
      <c r="C26" s="3" t="s">
        <v>1563</v>
      </c>
      <c r="D26" s="3" t="s">
        <v>1564</v>
      </c>
      <c r="E26" s="3" t="s">
        <v>1565</v>
      </c>
    </row>
    <row r="27" spans="1:7" ht="46" customHeight="1" x14ac:dyDescent="0.2">
      <c r="A27" s="3" t="s">
        <v>1566</v>
      </c>
      <c r="B27" s="3" t="s">
        <v>1567</v>
      </c>
      <c r="C27" s="3" t="s">
        <v>1568</v>
      </c>
      <c r="D27" s="3" t="s">
        <v>1569</v>
      </c>
      <c r="E27" s="3" t="s">
        <v>1570</v>
      </c>
    </row>
    <row r="28" spans="1:7" ht="46" customHeight="1" x14ac:dyDescent="0.2">
      <c r="A28" s="3" t="s">
        <v>1571</v>
      </c>
      <c r="B28" s="3" t="s">
        <v>1572</v>
      </c>
      <c r="C28" s="3" t="s">
        <v>1573</v>
      </c>
      <c r="D28" s="3" t="s">
        <v>1574</v>
      </c>
      <c r="E28" s="3" t="s">
        <v>1575</v>
      </c>
    </row>
    <row r="29" spans="1:7" ht="46" customHeight="1" x14ac:dyDescent="0.2">
      <c r="A29" s="3" t="s">
        <v>1576</v>
      </c>
      <c r="B29" s="3" t="s">
        <v>1577</v>
      </c>
      <c r="C29" s="3" t="s">
        <v>1578</v>
      </c>
      <c r="D29" s="3" t="s">
        <v>1579</v>
      </c>
      <c r="E29" s="3" t="s">
        <v>1580</v>
      </c>
    </row>
    <row r="30" spans="1:7" ht="46" customHeight="1" x14ac:dyDescent="0.2">
      <c r="A30" s="3" t="s">
        <v>1581</v>
      </c>
      <c r="B30" s="3" t="s">
        <v>1582</v>
      </c>
      <c r="C30" s="3" t="s">
        <v>1583</v>
      </c>
      <c r="D30" s="3" t="s">
        <v>1584</v>
      </c>
      <c r="E30" s="3" t="s">
        <v>1585</v>
      </c>
    </row>
    <row r="31" spans="1:7" ht="56" customHeight="1" x14ac:dyDescent="0.2">
      <c r="A31" s="3" t="s">
        <v>1586</v>
      </c>
      <c r="B31" s="3" t="s">
        <v>1587</v>
      </c>
      <c r="C31" s="3" t="s">
        <v>1588</v>
      </c>
      <c r="D31" s="3" t="s">
        <v>1589</v>
      </c>
      <c r="E31" s="3" t="s">
        <v>1590</v>
      </c>
    </row>
    <row r="32" spans="1:7" ht="176" customHeight="1" x14ac:dyDescent="0.2">
      <c r="A32" s="2" t="s">
        <v>466</v>
      </c>
      <c r="B32" s="3" t="s">
        <v>1591</v>
      </c>
      <c r="C32" s="4"/>
      <c r="D32" s="4"/>
      <c r="E32" s="4"/>
    </row>
    <row r="33" spans="1:7" ht="46" customHeight="1" x14ac:dyDescent="0.2"/>
    <row r="34" spans="1:7" ht="362.5" customHeight="1" x14ac:dyDescent="0.2">
      <c r="A34" s="5" t="s">
        <v>1592</v>
      </c>
      <c r="B34" s="6" t="s">
        <v>1593</v>
      </c>
      <c r="C34" s="7"/>
      <c r="D34" s="7"/>
      <c r="E34" s="7"/>
      <c r="F34" s="7"/>
      <c r="G34" s="7"/>
    </row>
    <row r="35" spans="1:7" ht="46" customHeight="1" x14ac:dyDescent="0.2">
      <c r="A35" s="8" t="s">
        <v>382</v>
      </c>
      <c r="B35" s="9" t="s">
        <v>1594</v>
      </c>
      <c r="C35" s="3" t="s">
        <v>1595</v>
      </c>
      <c r="D35" s="3" t="s">
        <v>1596</v>
      </c>
      <c r="E35" s="3" t="s">
        <v>1597</v>
      </c>
    </row>
    <row r="36" spans="1:7" ht="46" customHeight="1" x14ac:dyDescent="0.2">
      <c r="A36" s="3" t="s">
        <v>1598</v>
      </c>
      <c r="B36" s="3" t="s">
        <v>1599</v>
      </c>
      <c r="C36" s="3" t="s">
        <v>1600</v>
      </c>
      <c r="D36" s="3" t="s">
        <v>1601</v>
      </c>
      <c r="E36" s="3" t="s">
        <v>1602</v>
      </c>
    </row>
    <row r="37" spans="1:7" ht="46" customHeight="1" x14ac:dyDescent="0.2">
      <c r="A37" s="3" t="s">
        <v>1603</v>
      </c>
      <c r="B37" s="3" t="s">
        <v>1604</v>
      </c>
      <c r="C37" s="3" t="s">
        <v>1605</v>
      </c>
      <c r="D37" s="3" t="s">
        <v>1606</v>
      </c>
      <c r="E37" s="3" t="s">
        <v>1607</v>
      </c>
    </row>
    <row r="38" spans="1:7" ht="46" customHeight="1" x14ac:dyDescent="0.2">
      <c r="A38" s="3" t="s">
        <v>1608</v>
      </c>
      <c r="B38" s="3" t="s">
        <v>1609</v>
      </c>
      <c r="C38" s="3" t="s">
        <v>1610</v>
      </c>
      <c r="D38" s="3" t="s">
        <v>1611</v>
      </c>
      <c r="E38" s="3" t="s">
        <v>1612</v>
      </c>
    </row>
    <row r="39" spans="1:7" ht="46" customHeight="1" x14ac:dyDescent="0.2">
      <c r="A39" s="3" t="s">
        <v>1613</v>
      </c>
      <c r="B39" s="3" t="s">
        <v>1614</v>
      </c>
      <c r="C39" s="3" t="s">
        <v>1615</v>
      </c>
      <c r="D39" s="3" t="s">
        <v>1616</v>
      </c>
      <c r="E39" s="3" t="s">
        <v>1617</v>
      </c>
    </row>
    <row r="40" spans="1:7" ht="56" customHeight="1" x14ac:dyDescent="0.2">
      <c r="A40" s="3" t="s">
        <v>1618</v>
      </c>
      <c r="B40" s="3" t="s">
        <v>1619</v>
      </c>
      <c r="C40" s="3" t="s">
        <v>1620</v>
      </c>
      <c r="D40" s="3" t="s">
        <v>1621</v>
      </c>
      <c r="E40" s="3" t="s">
        <v>1622</v>
      </c>
    </row>
    <row r="41" spans="1:7" ht="160" customHeight="1" x14ac:dyDescent="0.2">
      <c r="A41" s="2" t="s">
        <v>466</v>
      </c>
      <c r="B41" s="3" t="s">
        <v>1623</v>
      </c>
      <c r="C41" s="4"/>
      <c r="D41" s="4"/>
      <c r="E41" s="4"/>
    </row>
    <row r="42" spans="1:7" ht="46" customHeight="1" x14ac:dyDescent="0.2"/>
    <row r="43" spans="1:7" ht="362.5" customHeight="1" x14ac:dyDescent="0.2">
      <c r="A43" s="5" t="s">
        <v>1624</v>
      </c>
      <c r="B43" s="6" t="s">
        <v>1625</v>
      </c>
      <c r="C43" s="7"/>
      <c r="D43" s="7"/>
      <c r="E43" s="7"/>
      <c r="F43" s="7"/>
      <c r="G43" s="7"/>
    </row>
    <row r="44" spans="1:7" ht="46" customHeight="1" x14ac:dyDescent="0.2">
      <c r="A44" s="8" t="s">
        <v>382</v>
      </c>
      <c r="B44" s="9" t="s">
        <v>1626</v>
      </c>
      <c r="C44" s="3" t="s">
        <v>1627</v>
      </c>
      <c r="D44" s="3" t="s">
        <v>1628</v>
      </c>
      <c r="E44" s="3" t="s">
        <v>1629</v>
      </c>
    </row>
    <row r="45" spans="1:7" ht="46" customHeight="1" x14ac:dyDescent="0.2">
      <c r="A45" s="3" t="s">
        <v>1630</v>
      </c>
      <c r="B45" s="3" t="s">
        <v>1631</v>
      </c>
      <c r="C45" s="3" t="s">
        <v>1632</v>
      </c>
      <c r="D45" s="3" t="s">
        <v>1633</v>
      </c>
      <c r="E45" s="3" t="s">
        <v>1634</v>
      </c>
    </row>
    <row r="46" spans="1:7" ht="46" customHeight="1" x14ac:dyDescent="0.2">
      <c r="A46" s="3" t="s">
        <v>1635</v>
      </c>
      <c r="B46" s="3" t="s">
        <v>1636</v>
      </c>
      <c r="C46" s="3" t="s">
        <v>1637</v>
      </c>
      <c r="D46" s="3" t="s">
        <v>1638</v>
      </c>
      <c r="E46" s="3" t="s">
        <v>1639</v>
      </c>
    </row>
    <row r="47" spans="1:7" ht="46" customHeight="1" x14ac:dyDescent="0.2">
      <c r="A47" s="3" t="s">
        <v>1640</v>
      </c>
      <c r="B47" s="3" t="s">
        <v>1641</v>
      </c>
      <c r="C47" s="3" t="s">
        <v>1642</v>
      </c>
      <c r="D47" s="3" t="s">
        <v>1643</v>
      </c>
      <c r="E47" s="3" t="s">
        <v>1644</v>
      </c>
    </row>
    <row r="48" spans="1:7" ht="46" customHeight="1" x14ac:dyDescent="0.2">
      <c r="A48" s="3" t="s">
        <v>1645</v>
      </c>
      <c r="B48" s="3" t="s">
        <v>1646</v>
      </c>
      <c r="C48" s="3" t="s">
        <v>1647</v>
      </c>
      <c r="D48" s="3" t="s">
        <v>1648</v>
      </c>
      <c r="E48" s="3" t="s">
        <v>1649</v>
      </c>
    </row>
    <row r="49" spans="1:7" ht="46" customHeight="1" x14ac:dyDescent="0.2">
      <c r="A49" s="3" t="s">
        <v>1650</v>
      </c>
      <c r="B49" s="3" t="s">
        <v>1651</v>
      </c>
      <c r="C49" s="3" t="s">
        <v>1652</v>
      </c>
      <c r="D49" s="3" t="s">
        <v>1653</v>
      </c>
      <c r="E49" s="3" t="s">
        <v>1654</v>
      </c>
    </row>
    <row r="50" spans="1:7" ht="56" customHeight="1" x14ac:dyDescent="0.2">
      <c r="A50" s="3" t="s">
        <v>1655</v>
      </c>
      <c r="B50" s="3" t="s">
        <v>1656</v>
      </c>
      <c r="C50" s="3" t="s">
        <v>1657</v>
      </c>
      <c r="D50" s="3" t="s">
        <v>1658</v>
      </c>
      <c r="E50" s="3" t="s">
        <v>1659</v>
      </c>
    </row>
    <row r="51" spans="1:7" ht="192" customHeight="1" x14ac:dyDescent="0.2">
      <c r="A51" s="2" t="s">
        <v>466</v>
      </c>
      <c r="B51" s="3" t="s">
        <v>1660</v>
      </c>
      <c r="C51" s="4"/>
      <c r="D51" s="4"/>
      <c r="E51" s="4"/>
    </row>
    <row r="52" spans="1:7" ht="46" customHeight="1" x14ac:dyDescent="0.2"/>
    <row r="53" spans="1:7" ht="337.5" customHeight="1" x14ac:dyDescent="0.2">
      <c r="A53" s="5" t="s">
        <v>1661</v>
      </c>
      <c r="B53" s="6" t="s">
        <v>1662</v>
      </c>
      <c r="C53" s="7"/>
      <c r="D53" s="7"/>
      <c r="E53" s="7"/>
      <c r="F53" s="7"/>
      <c r="G53" s="7"/>
    </row>
    <row r="54" spans="1:7" ht="46" customHeight="1" x14ac:dyDescent="0.2">
      <c r="A54" s="8" t="s">
        <v>382</v>
      </c>
      <c r="B54" s="9" t="s">
        <v>1663</v>
      </c>
      <c r="C54" s="3" t="s">
        <v>1664</v>
      </c>
      <c r="D54" s="3" t="s">
        <v>1665</v>
      </c>
      <c r="E54" s="3" t="s">
        <v>1666</v>
      </c>
    </row>
    <row r="55" spans="1:7" ht="46" customHeight="1" x14ac:dyDescent="0.2">
      <c r="A55" s="3" t="s">
        <v>1667</v>
      </c>
      <c r="B55" s="3" t="s">
        <v>1668</v>
      </c>
      <c r="C55" s="3" t="s">
        <v>1669</v>
      </c>
      <c r="D55" s="3" t="s">
        <v>1670</v>
      </c>
      <c r="E55" s="3" t="s">
        <v>1671</v>
      </c>
    </row>
    <row r="56" spans="1:7" ht="46" customHeight="1" x14ac:dyDescent="0.2">
      <c r="A56" s="3" t="s">
        <v>1672</v>
      </c>
      <c r="B56" s="3" t="s">
        <v>1673</v>
      </c>
      <c r="C56" s="3" t="s">
        <v>1674</v>
      </c>
      <c r="D56" s="3" t="s">
        <v>1675</v>
      </c>
      <c r="E56" s="3" t="s">
        <v>1676</v>
      </c>
    </row>
    <row r="57" spans="1:7" ht="46" customHeight="1" x14ac:dyDescent="0.2">
      <c r="A57" s="3" t="s">
        <v>1677</v>
      </c>
      <c r="B57" s="3" t="s">
        <v>1678</v>
      </c>
      <c r="C57" s="3" t="s">
        <v>1679</v>
      </c>
      <c r="D57" s="3" t="s">
        <v>1680</v>
      </c>
      <c r="E57" s="3" t="s">
        <v>1681</v>
      </c>
    </row>
    <row r="58" spans="1:7" ht="56" customHeight="1" x14ac:dyDescent="0.2">
      <c r="A58" s="3" t="s">
        <v>1682</v>
      </c>
      <c r="B58" s="3" t="s">
        <v>1683</v>
      </c>
      <c r="C58" s="3" t="s">
        <v>1684</v>
      </c>
      <c r="D58" s="3" t="s">
        <v>1685</v>
      </c>
      <c r="E58" s="3" t="s">
        <v>1686</v>
      </c>
    </row>
    <row r="59" spans="1:7" ht="144" customHeight="1" x14ac:dyDescent="0.2">
      <c r="A59" s="2" t="s">
        <v>466</v>
      </c>
      <c r="B59" s="3" t="s">
        <v>1687</v>
      </c>
      <c r="C59" s="4"/>
      <c r="D59" s="4"/>
      <c r="E59" s="4"/>
    </row>
    <row r="60" spans="1:7" ht="46" customHeight="1" x14ac:dyDescent="0.2"/>
    <row r="61" spans="1:7" ht="350" customHeight="1" x14ac:dyDescent="0.2">
      <c r="A61" s="5" t="s">
        <v>1688</v>
      </c>
      <c r="B61" s="6" t="s">
        <v>1689</v>
      </c>
      <c r="C61" s="7"/>
      <c r="D61" s="7"/>
      <c r="E61" s="7"/>
      <c r="F61" s="7"/>
      <c r="G61" s="7"/>
    </row>
    <row r="62" spans="1:7" ht="46" customHeight="1" x14ac:dyDescent="0.2">
      <c r="A62" s="8" t="s">
        <v>382</v>
      </c>
      <c r="B62" s="9" t="s">
        <v>1690</v>
      </c>
      <c r="C62" s="3" t="s">
        <v>1691</v>
      </c>
      <c r="D62" s="3" t="s">
        <v>1692</v>
      </c>
      <c r="E62" s="3" t="s">
        <v>1693</v>
      </c>
    </row>
    <row r="63" spans="1:7" ht="46" customHeight="1" x14ac:dyDescent="0.2">
      <c r="A63" s="3" t="s">
        <v>1694</v>
      </c>
      <c r="B63" s="3" t="s">
        <v>1695</v>
      </c>
      <c r="C63" s="3" t="s">
        <v>1696</v>
      </c>
      <c r="D63" s="3" t="s">
        <v>1697</v>
      </c>
      <c r="E63" s="3" t="s">
        <v>1698</v>
      </c>
    </row>
    <row r="64" spans="1:7" ht="46" customHeight="1" x14ac:dyDescent="0.2">
      <c r="A64" s="3" t="s">
        <v>1699</v>
      </c>
      <c r="B64" s="3" t="s">
        <v>1700</v>
      </c>
      <c r="C64" s="3" t="s">
        <v>1701</v>
      </c>
      <c r="D64" s="3" t="s">
        <v>1702</v>
      </c>
      <c r="E64" s="3" t="s">
        <v>1703</v>
      </c>
    </row>
    <row r="65" spans="1:5" ht="46" customHeight="1" x14ac:dyDescent="0.2">
      <c r="A65" s="3" t="s">
        <v>1704</v>
      </c>
      <c r="B65" s="3" t="s">
        <v>1705</v>
      </c>
      <c r="C65" s="3" t="s">
        <v>1706</v>
      </c>
      <c r="D65" s="3" t="s">
        <v>1707</v>
      </c>
      <c r="E65" s="3" t="s">
        <v>1708</v>
      </c>
    </row>
    <row r="66" spans="1:5" ht="46" customHeight="1" x14ac:dyDescent="0.2">
      <c r="A66" s="3" t="s">
        <v>1709</v>
      </c>
      <c r="B66" s="3" t="s">
        <v>1710</v>
      </c>
      <c r="C66" s="3" t="s">
        <v>1711</v>
      </c>
      <c r="D66" s="3" t="s">
        <v>1712</v>
      </c>
      <c r="E66" s="3" t="s">
        <v>1713</v>
      </c>
    </row>
    <row r="67" spans="1:5" ht="56" customHeight="1" x14ac:dyDescent="0.2">
      <c r="A67" s="3" t="s">
        <v>1714</v>
      </c>
      <c r="B67" s="3" t="s">
        <v>1715</v>
      </c>
      <c r="C67" s="3" t="s">
        <v>1716</v>
      </c>
      <c r="D67" s="3" t="s">
        <v>1717</v>
      </c>
      <c r="E67" s="3" t="s">
        <v>1718</v>
      </c>
    </row>
    <row r="68" spans="1:5" ht="144" customHeight="1" x14ac:dyDescent="0.2">
      <c r="A68" s="2" t="s">
        <v>466</v>
      </c>
      <c r="B68" s="3" t="s">
        <v>1719</v>
      </c>
      <c r="C68" s="4"/>
      <c r="D68" s="4"/>
      <c r="E68" s="4"/>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x14ac:dyDescent="0.2"/>
  <cols>
    <col min="1" max="1" width="32" customWidth="1"/>
    <col min="2" max="2" width="12" customWidth="1"/>
    <col min="3" max="3" width="108" customWidth="1"/>
    <col min="4" max="4" width="11" customWidth="1"/>
    <col min="5" max="5" width="26" customWidth="1"/>
    <col min="6" max="6" width="58" customWidth="1"/>
  </cols>
  <sheetData>
    <row r="1" spans="1:6" ht="26" customHeight="1" x14ac:dyDescent="0.2">
      <c r="A1" s="1" t="s">
        <v>1720</v>
      </c>
      <c r="B1" s="1" t="s">
        <v>1721</v>
      </c>
      <c r="C1" s="1" t="s">
        <v>1722</v>
      </c>
      <c r="D1" s="1" t="s">
        <v>5</v>
      </c>
      <c r="E1" s="1" t="s">
        <v>187</v>
      </c>
      <c r="F1" s="16" t="s">
        <v>203</v>
      </c>
    </row>
    <row r="2" spans="1:6" ht="400" customHeight="1" x14ac:dyDescent="0.2">
      <c r="A2" s="2" t="s">
        <v>1723</v>
      </c>
      <c r="B2" s="3" t="s">
        <v>304</v>
      </c>
      <c r="C2" s="3" t="s">
        <v>1724</v>
      </c>
      <c r="F2" s="4" t="s">
        <v>1725</v>
      </c>
    </row>
    <row r="3" spans="1:6" ht="400" customHeight="1" x14ac:dyDescent="0.2">
      <c r="A3" s="2" t="s">
        <v>1726</v>
      </c>
      <c r="B3" s="3" t="s">
        <v>304</v>
      </c>
      <c r="C3" s="3" t="s">
        <v>1727</v>
      </c>
      <c r="F3" s="4" t="s">
        <v>1728</v>
      </c>
    </row>
    <row r="4" spans="1:6" ht="196" customHeight="1" x14ac:dyDescent="0.2">
      <c r="A4" s="2" t="s">
        <v>1729</v>
      </c>
      <c r="B4" s="3" t="s">
        <v>334</v>
      </c>
      <c r="C4" s="3" t="s">
        <v>1730</v>
      </c>
      <c r="F4" s="4" t="s">
        <v>1731</v>
      </c>
    </row>
    <row r="5" spans="1:6" ht="196" customHeight="1" x14ac:dyDescent="0.2">
      <c r="A5" s="2" t="s">
        <v>1732</v>
      </c>
      <c r="B5" s="3" t="s">
        <v>334</v>
      </c>
      <c r="C5" s="3" t="s">
        <v>1733</v>
      </c>
      <c r="F5" s="4" t="s">
        <v>1734</v>
      </c>
    </row>
    <row r="6" spans="1:6" ht="224" customHeight="1" x14ac:dyDescent="0.2">
      <c r="A6" s="2" t="s">
        <v>1735</v>
      </c>
      <c r="B6" s="3" t="s">
        <v>244</v>
      </c>
      <c r="C6" s="3" t="s">
        <v>1736</v>
      </c>
      <c r="F6" s="4" t="s">
        <v>1737</v>
      </c>
    </row>
    <row r="7" spans="1:6" ht="140" customHeight="1" x14ac:dyDescent="0.2">
      <c r="A7" s="2" t="s">
        <v>1738</v>
      </c>
      <c r="B7" s="3" t="s">
        <v>244</v>
      </c>
      <c r="C7" s="3" t="s">
        <v>1739</v>
      </c>
      <c r="F7" s="4" t="s">
        <v>1740</v>
      </c>
    </row>
    <row r="8" spans="1:6" ht="84" customHeight="1" x14ac:dyDescent="0.2">
      <c r="A8" s="2" t="s">
        <v>1741</v>
      </c>
      <c r="B8" s="3" t="s">
        <v>244</v>
      </c>
      <c r="C8" s="3" t="s">
        <v>1742</v>
      </c>
      <c r="F8" s="4" t="s">
        <v>1743</v>
      </c>
    </row>
    <row r="9" spans="1:6" ht="80" customHeight="1" x14ac:dyDescent="0.2">
      <c r="A9" s="2" t="s">
        <v>1744</v>
      </c>
      <c r="B9" s="3" t="s">
        <v>204</v>
      </c>
      <c r="C9" s="3" t="s">
        <v>1745</v>
      </c>
      <c r="F9" s="4" t="s">
        <v>1746</v>
      </c>
    </row>
    <row r="10" spans="1:6" ht="80" customHeight="1" x14ac:dyDescent="0.2">
      <c r="A10" s="2" t="s">
        <v>1747</v>
      </c>
      <c r="B10" s="3" t="s">
        <v>204</v>
      </c>
      <c r="C10" s="3" t="s">
        <v>1748</v>
      </c>
      <c r="F10" s="4" t="s">
        <v>1749</v>
      </c>
    </row>
    <row r="11" spans="1:6" ht="196" customHeight="1" x14ac:dyDescent="0.2">
      <c r="A11" s="2" t="s">
        <v>1750</v>
      </c>
      <c r="B11" s="3" t="s">
        <v>272</v>
      </c>
      <c r="C11" s="3" t="s">
        <v>1751</v>
      </c>
      <c r="F11" s="4" t="s">
        <v>1752</v>
      </c>
    </row>
    <row r="12" spans="1:6" ht="168" customHeight="1" x14ac:dyDescent="0.2">
      <c r="A12" s="2" t="s">
        <v>1753</v>
      </c>
      <c r="B12" s="3" t="s">
        <v>272</v>
      </c>
      <c r="C12" s="3" t="s">
        <v>1754</v>
      </c>
      <c r="F12" s="4" t="s">
        <v>1755</v>
      </c>
    </row>
    <row r="13" spans="1:6" ht="140" customHeight="1" x14ac:dyDescent="0.2">
      <c r="A13" s="2" t="s">
        <v>1756</v>
      </c>
      <c r="B13" s="3" t="s">
        <v>272</v>
      </c>
      <c r="C13" s="3" t="s">
        <v>1757</v>
      </c>
      <c r="F13" s="4" t="s">
        <v>1758</v>
      </c>
    </row>
    <row r="14" spans="1:6" ht="112" customHeight="1" x14ac:dyDescent="0.2">
      <c r="A14" s="2" t="s">
        <v>1759</v>
      </c>
      <c r="B14" s="3" t="s">
        <v>272</v>
      </c>
      <c r="C14" s="3" t="s">
        <v>1760</v>
      </c>
      <c r="F14" s="4" t="s">
        <v>1761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99"/>
  <sheetViews>
    <sheetView workbookViewId="0">
      <pane ySplit="1" topLeftCell="A2" activePane="bottomLeft" state="frozen"/>
      <selection pane="bottomLeft"/>
    </sheetView>
  </sheetViews>
  <sheetFormatPr baseColWidth="10" defaultColWidth="8.83203125" defaultRowHeight="15" x14ac:dyDescent="0.2"/>
  <cols>
    <col min="1" max="1" width="40" customWidth="1"/>
    <col min="2" max="2" width="44" customWidth="1"/>
    <col min="3" max="3" width="36" customWidth="1"/>
    <col min="4" max="4" width="40" customWidth="1"/>
    <col min="5" max="5" width="11" customWidth="1"/>
    <col min="6" max="6" width="24" customWidth="1"/>
  </cols>
  <sheetData>
    <row r="1" spans="1:6" ht="26" customHeight="1" x14ac:dyDescent="0.2">
      <c r="A1" s="1" t="s">
        <v>1762</v>
      </c>
      <c r="B1" s="1" t="s">
        <v>1763</v>
      </c>
      <c r="C1" s="1" t="s">
        <v>1764</v>
      </c>
      <c r="D1" s="1" t="s">
        <v>1765</v>
      </c>
      <c r="E1" s="1" t="s">
        <v>5</v>
      </c>
      <c r="F1" s="1" t="s">
        <v>187</v>
      </c>
    </row>
    <row r="2" spans="1:6" ht="40" customHeight="1" x14ac:dyDescent="0.2">
      <c r="A2" s="2" t="s">
        <v>1766</v>
      </c>
      <c r="B2" s="3" t="s">
        <v>1767</v>
      </c>
      <c r="C2" s="3" t="s">
        <v>1768</v>
      </c>
      <c r="D2" s="3" t="s">
        <v>1769</v>
      </c>
    </row>
    <row r="3" spans="1:6" ht="40" customHeight="1" x14ac:dyDescent="0.2">
      <c r="A3" s="2" t="s">
        <v>1770</v>
      </c>
      <c r="B3" s="3" t="s">
        <v>1771</v>
      </c>
      <c r="C3" s="3" t="s">
        <v>611</v>
      </c>
      <c r="D3" s="3" t="s">
        <v>1772</v>
      </c>
    </row>
    <row r="4" spans="1:6" ht="40" customHeight="1" x14ac:dyDescent="0.2">
      <c r="A4" s="2" t="s">
        <v>1773</v>
      </c>
      <c r="B4" s="3" t="s">
        <v>1774</v>
      </c>
      <c r="C4" s="3" t="s">
        <v>1775</v>
      </c>
      <c r="D4" s="3"/>
    </row>
    <row r="5" spans="1:6" ht="40" customHeight="1" x14ac:dyDescent="0.2">
      <c r="A5" s="2" t="s">
        <v>1776</v>
      </c>
      <c r="B5" s="3" t="s">
        <v>1777</v>
      </c>
      <c r="C5" s="3" t="s">
        <v>1778</v>
      </c>
      <c r="D5" s="3"/>
    </row>
    <row r="6" spans="1:6" ht="40" customHeight="1" x14ac:dyDescent="0.2">
      <c r="A6" s="2" t="s">
        <v>1779</v>
      </c>
      <c r="B6" s="3" t="s">
        <v>1780</v>
      </c>
      <c r="C6" s="3" t="s">
        <v>1781</v>
      </c>
      <c r="D6" s="3"/>
    </row>
    <row r="7" spans="1:6" ht="40" customHeight="1" x14ac:dyDescent="0.2">
      <c r="A7" s="2" t="s">
        <v>1782</v>
      </c>
      <c r="B7" s="3" t="s">
        <v>1783</v>
      </c>
      <c r="C7" s="3" t="s">
        <v>1784</v>
      </c>
      <c r="D7" s="3" t="e">
        <f>Performance screen versus-market row</f>
        <v>#NAME?</v>
      </c>
    </row>
    <row r="8" spans="1:6" ht="40" customHeight="1" x14ac:dyDescent="0.2">
      <c r="A8" s="2" t="s">
        <v>1785</v>
      </c>
      <c r="B8" s="3" t="s">
        <v>1786</v>
      </c>
      <c r="C8" s="3" t="s">
        <v>1787</v>
      </c>
      <c r="D8" s="3" t="s">
        <v>1788</v>
      </c>
    </row>
    <row r="9" spans="1:6" ht="40" customHeight="1" x14ac:dyDescent="0.2">
      <c r="A9" s="2" t="s">
        <v>1789</v>
      </c>
      <c r="B9" s="3" t="s">
        <v>1790</v>
      </c>
      <c r="C9" s="3" t="s">
        <v>1791</v>
      </c>
      <c r="D9" s="3" t="s">
        <v>1792</v>
      </c>
    </row>
    <row r="10" spans="1:6" ht="40" customHeight="1" x14ac:dyDescent="0.2">
      <c r="A10" s="2" t="s">
        <v>1793</v>
      </c>
      <c r="B10" s="3" t="s">
        <v>1794</v>
      </c>
      <c r="C10" s="3" t="s">
        <v>1795</v>
      </c>
      <c r="D10" s="3" t="e">
        <f>Invest tab cash total</f>
        <v>#NAME?</v>
      </c>
    </row>
    <row r="11" spans="1:6" ht="40" customHeight="1" x14ac:dyDescent="0.2">
      <c r="A11" s="2" t="s">
        <v>1796</v>
      </c>
      <c r="B11" s="3" t="s">
        <v>1797</v>
      </c>
      <c r="C11" s="3" t="s">
        <v>1798</v>
      </c>
      <c r="D11" s="3" t="e">
        <f>contribution-room screen headline</f>
        <v>#NAME?</v>
      </c>
    </row>
    <row r="12" spans="1:6" ht="40" customHeight="1" x14ac:dyDescent="0.2">
      <c r="A12" s="2" t="s">
        <v>1799</v>
      </c>
      <c r="B12" s="3" t="s">
        <v>1800</v>
      </c>
      <c r="C12" s="3" t="s">
        <v>1801</v>
      </c>
      <c r="D12" s="3"/>
    </row>
    <row r="13" spans="1:6" ht="40" customHeight="1" x14ac:dyDescent="0.2">
      <c r="A13" s="2" t="s">
        <v>1802</v>
      </c>
      <c r="B13" s="3" t="s">
        <v>1803</v>
      </c>
      <c r="C13" s="3" t="s">
        <v>509</v>
      </c>
      <c r="D13" s="3" t="s">
        <v>1804</v>
      </c>
    </row>
    <row r="14" spans="1:6" ht="40" customHeight="1" x14ac:dyDescent="0.2">
      <c r="A14" s="2" t="s">
        <v>1805</v>
      </c>
      <c r="B14" s="3" t="s">
        <v>1806</v>
      </c>
      <c r="C14" s="3" t="s">
        <v>1807</v>
      </c>
      <c r="D14" s="3" t="e">
        <f>cash flow paycheck current-month row and year total</f>
        <v>#NAME?</v>
      </c>
    </row>
    <row r="15" spans="1:6" ht="40" customHeight="1" x14ac:dyDescent="0.2">
      <c r="A15" s="2" t="s">
        <v>1808</v>
      </c>
      <c r="B15" s="3" t="s">
        <v>1809</v>
      </c>
      <c r="C15" s="3" t="s">
        <v>1810</v>
      </c>
      <c r="D15" s="3"/>
    </row>
    <row r="16" spans="1:6" ht="40" customHeight="1" x14ac:dyDescent="0.2">
      <c r="A16" s="2" t="s">
        <v>1811</v>
      </c>
      <c r="B16" s="3" t="s">
        <v>1812</v>
      </c>
      <c r="C16" s="3" t="s">
        <v>1813</v>
      </c>
      <c r="D16" s="3" t="s">
        <v>1814</v>
      </c>
    </row>
    <row r="17" spans="1:4" ht="40" customHeight="1" x14ac:dyDescent="0.2">
      <c r="A17" s="2" t="s">
        <v>1815</v>
      </c>
      <c r="B17" s="3" t="s">
        <v>1816</v>
      </c>
      <c r="C17" s="3" t="s">
        <v>1817</v>
      </c>
      <c r="D17" s="3" t="s">
        <v>1818</v>
      </c>
    </row>
    <row r="18" spans="1:4" ht="40" customHeight="1" x14ac:dyDescent="0.2">
      <c r="A18" s="2" t="s">
        <v>1819</v>
      </c>
      <c r="B18" s="3" t="s">
        <v>1820</v>
      </c>
      <c r="C18" s="3" t="s">
        <v>630</v>
      </c>
      <c r="D18" s="3" t="e">
        <f>Settings connections list status/date</f>
        <v>#NAME?</v>
      </c>
    </row>
    <row r="19" spans="1:4" ht="40" customHeight="1" x14ac:dyDescent="0.2">
      <c r="A19" s="2" t="s">
        <v>1821</v>
      </c>
      <c r="B19" s="3" t="s">
        <v>1822</v>
      </c>
      <c r="C19" s="3" t="s">
        <v>1823</v>
      </c>
      <c r="D19" s="3" t="s">
        <v>1824</v>
      </c>
    </row>
    <row r="20" spans="1:4" ht="40" customHeight="1" x14ac:dyDescent="0.2">
      <c r="A20" s="2" t="s">
        <v>1825</v>
      </c>
      <c r="B20" s="3" t="s">
        <v>1826</v>
      </c>
      <c r="C20" s="3" t="s">
        <v>713</v>
      </c>
      <c r="D20" s="3" t="s">
        <v>1827</v>
      </c>
    </row>
    <row r="21" spans="1:4" ht="40" customHeight="1" x14ac:dyDescent="0.2">
      <c r="A21" s="2" t="s">
        <v>1828</v>
      </c>
      <c r="B21" s="3" t="s">
        <v>1829</v>
      </c>
      <c r="C21" s="3" t="s">
        <v>1830</v>
      </c>
      <c r="D21" s="3" t="s">
        <v>1831</v>
      </c>
    </row>
    <row r="22" spans="1:4" ht="40" customHeight="1" x14ac:dyDescent="0.2">
      <c r="A22" s="2" t="s">
        <v>1832</v>
      </c>
      <c r="B22" s="3" t="s">
        <v>1833</v>
      </c>
      <c r="C22" s="3" t="s">
        <v>1834</v>
      </c>
      <c r="D22" s="3" t="s">
        <v>1835</v>
      </c>
    </row>
    <row r="23" spans="1:4" ht="40" customHeight="1" x14ac:dyDescent="0.2">
      <c r="A23" s="2" t="s">
        <v>1836</v>
      </c>
      <c r="B23" s="3" t="s">
        <v>1837</v>
      </c>
      <c r="C23" s="3" t="s">
        <v>1838</v>
      </c>
      <c r="D23" s="3" t="s">
        <v>1839</v>
      </c>
    </row>
    <row r="24" spans="1:4" ht="40" customHeight="1" x14ac:dyDescent="0.2">
      <c r="A24" s="2" t="s">
        <v>1840</v>
      </c>
      <c r="B24" s="3" t="s">
        <v>1841</v>
      </c>
      <c r="C24" s="3" t="s">
        <v>1842</v>
      </c>
      <c r="D24" s="3" t="s">
        <v>1843</v>
      </c>
    </row>
    <row r="25" spans="1:4" ht="40" customHeight="1" x14ac:dyDescent="0.2">
      <c r="A25" s="2" t="s">
        <v>1844</v>
      </c>
      <c r="B25" s="3" t="s">
        <v>1845</v>
      </c>
      <c r="C25" s="3" t="s">
        <v>1846</v>
      </c>
      <c r="D25" s="3" t="s">
        <v>1847</v>
      </c>
    </row>
    <row r="26" spans="1:4" ht="40" customHeight="1" x14ac:dyDescent="0.2">
      <c r="A26" s="2" t="s">
        <v>1848</v>
      </c>
      <c r="B26" s="3" t="s">
        <v>1849</v>
      </c>
      <c r="C26" s="3" t="s">
        <v>611</v>
      </c>
      <c r="D26" s="3" t="s">
        <v>1850</v>
      </c>
    </row>
    <row r="27" spans="1:4" ht="40" customHeight="1" x14ac:dyDescent="0.2">
      <c r="A27" s="2" t="s">
        <v>1851</v>
      </c>
      <c r="B27" s="3" t="s">
        <v>1852</v>
      </c>
      <c r="C27" s="3" t="s">
        <v>1853</v>
      </c>
      <c r="D27" s="3" t="s">
        <v>1854</v>
      </c>
    </row>
    <row r="28" spans="1:4" ht="40" customHeight="1" x14ac:dyDescent="0.2">
      <c r="A28" s="2" t="s">
        <v>1855</v>
      </c>
      <c r="B28" s="3" t="s">
        <v>1856</v>
      </c>
      <c r="C28" s="3" t="s">
        <v>1857</v>
      </c>
      <c r="D28" s="3" t="s">
        <v>1858</v>
      </c>
    </row>
    <row r="29" spans="1:4" ht="40" customHeight="1" x14ac:dyDescent="0.2">
      <c r="A29" s="2" t="s">
        <v>1859</v>
      </c>
      <c r="B29" s="3" t="s">
        <v>1860</v>
      </c>
      <c r="C29" s="3" t="s">
        <v>1861</v>
      </c>
      <c r="D29" s="3" t="s">
        <v>1862</v>
      </c>
    </row>
    <row r="30" spans="1:4" ht="40" customHeight="1" x14ac:dyDescent="0.2">
      <c r="A30" s="2" t="s">
        <v>1863</v>
      </c>
      <c r="B30" s="3" t="s">
        <v>1864</v>
      </c>
      <c r="C30" s="3" t="s">
        <v>1865</v>
      </c>
      <c r="D30" s="3" t="s">
        <v>1866</v>
      </c>
    </row>
    <row r="31" spans="1:4" ht="40" customHeight="1" x14ac:dyDescent="0.2">
      <c r="A31" s="2" t="s">
        <v>1867</v>
      </c>
      <c r="B31" s="3" t="s">
        <v>1868</v>
      </c>
      <c r="C31" s="3" t="s">
        <v>1869</v>
      </c>
      <c r="D31" s="3" t="s">
        <v>1870</v>
      </c>
    </row>
    <row r="32" spans="1:4" ht="40" customHeight="1" x14ac:dyDescent="0.2">
      <c r="A32" s="2" t="s">
        <v>1871</v>
      </c>
      <c r="B32" s="3" t="s">
        <v>1872</v>
      </c>
      <c r="C32" s="3" t="s">
        <v>1873</v>
      </c>
      <c r="D32" s="3" t="s">
        <v>1874</v>
      </c>
    </row>
    <row r="33" spans="1:4" ht="40" customHeight="1" x14ac:dyDescent="0.2">
      <c r="A33" s="2" t="s">
        <v>1875</v>
      </c>
      <c r="B33" s="3" t="s">
        <v>1876</v>
      </c>
      <c r="C33" s="3" t="s">
        <v>1877</v>
      </c>
      <c r="D33" s="3" t="s">
        <v>1878</v>
      </c>
    </row>
    <row r="34" spans="1:4" ht="40" customHeight="1" x14ac:dyDescent="0.2">
      <c r="A34" s="2" t="s">
        <v>1879</v>
      </c>
      <c r="B34" s="3" t="s">
        <v>1880</v>
      </c>
      <c r="C34" s="3" t="s">
        <v>1881</v>
      </c>
      <c r="D34" s="3" t="s">
        <v>1882</v>
      </c>
    </row>
    <row r="35" spans="1:4" ht="40" customHeight="1" x14ac:dyDescent="0.2">
      <c r="A35" s="2" t="s">
        <v>1883</v>
      </c>
      <c r="B35" s="3" t="s">
        <v>1884</v>
      </c>
      <c r="C35" s="3" t="s">
        <v>1885</v>
      </c>
      <c r="D35" s="3" t="s">
        <v>1886</v>
      </c>
    </row>
    <row r="36" spans="1:4" ht="40" customHeight="1" x14ac:dyDescent="0.2">
      <c r="A36" s="2" t="s">
        <v>1887</v>
      </c>
      <c r="B36" s="3" t="s">
        <v>1888</v>
      </c>
      <c r="C36" s="3" t="s">
        <v>1889</v>
      </c>
      <c r="D36" s="3" t="s">
        <v>1890</v>
      </c>
    </row>
    <row r="37" spans="1:4" ht="40" customHeight="1" x14ac:dyDescent="0.2">
      <c r="A37" s="2" t="s">
        <v>1891</v>
      </c>
      <c r="B37" s="3" t="s">
        <v>1892</v>
      </c>
      <c r="C37" s="3" t="s">
        <v>902</v>
      </c>
      <c r="D37" s="3" t="s">
        <v>1893</v>
      </c>
    </row>
    <row r="38" spans="1:4" ht="40" customHeight="1" x14ac:dyDescent="0.2">
      <c r="A38" s="2" t="s">
        <v>1894</v>
      </c>
      <c r="B38" s="3" t="s">
        <v>1895</v>
      </c>
      <c r="C38" s="3" t="s">
        <v>1896</v>
      </c>
      <c r="D38" s="3" t="s">
        <v>1897</v>
      </c>
    </row>
    <row r="39" spans="1:4" ht="40" customHeight="1" x14ac:dyDescent="0.2">
      <c r="A39" s="2" t="s">
        <v>1898</v>
      </c>
      <c r="B39" s="3" t="s">
        <v>1899</v>
      </c>
      <c r="C39" s="3" t="s">
        <v>1900</v>
      </c>
      <c r="D39" s="3" t="s">
        <v>1901</v>
      </c>
    </row>
    <row r="40" spans="1:4" ht="40" customHeight="1" x14ac:dyDescent="0.2">
      <c r="A40" s="2" t="s">
        <v>1902</v>
      </c>
      <c r="B40" s="3" t="s">
        <v>1903</v>
      </c>
      <c r="C40" s="3" t="s">
        <v>892</v>
      </c>
      <c r="D40" s="3" t="s">
        <v>1904</v>
      </c>
    </row>
    <row r="41" spans="1:4" ht="40" customHeight="1" x14ac:dyDescent="0.2">
      <c r="A41" s="2" t="s">
        <v>1905</v>
      </c>
      <c r="B41" s="3" t="s">
        <v>1906</v>
      </c>
      <c r="C41" s="3" t="s">
        <v>1907</v>
      </c>
      <c r="D41" s="3" t="s">
        <v>1908</v>
      </c>
    </row>
    <row r="42" spans="1:4" ht="40" customHeight="1" x14ac:dyDescent="0.2">
      <c r="A42" s="2" t="s">
        <v>1909</v>
      </c>
      <c r="B42" s="3" t="s">
        <v>1910</v>
      </c>
      <c r="C42" s="3" t="s">
        <v>1911</v>
      </c>
      <c r="D42" s="3" t="s">
        <v>1912</v>
      </c>
    </row>
    <row r="43" spans="1:4" ht="40" customHeight="1" x14ac:dyDescent="0.2">
      <c r="A43" s="2" t="s">
        <v>1913</v>
      </c>
      <c r="B43" s="3" t="s">
        <v>1914</v>
      </c>
      <c r="C43" s="3" t="s">
        <v>1915</v>
      </c>
      <c r="D43" s="3" t="s">
        <v>1916</v>
      </c>
    </row>
    <row r="44" spans="1:4" ht="40" customHeight="1" x14ac:dyDescent="0.2">
      <c r="A44" s="2" t="s">
        <v>1917</v>
      </c>
      <c r="B44" s="3" t="s">
        <v>1918</v>
      </c>
      <c r="C44" s="3" t="s">
        <v>1919</v>
      </c>
      <c r="D44" s="3" t="s">
        <v>1920</v>
      </c>
    </row>
    <row r="45" spans="1:4" ht="40" customHeight="1" x14ac:dyDescent="0.2">
      <c r="A45" s="2" t="s">
        <v>1921</v>
      </c>
      <c r="B45" s="3" t="s">
        <v>1922</v>
      </c>
      <c r="C45" s="3" t="s">
        <v>1923</v>
      </c>
      <c r="D45" s="3" t="s">
        <v>1924</v>
      </c>
    </row>
    <row r="46" spans="1:4" ht="40" customHeight="1" x14ac:dyDescent="0.2">
      <c r="A46" s="2" t="s">
        <v>1925</v>
      </c>
      <c r="B46" s="3" t="s">
        <v>1926</v>
      </c>
      <c r="C46" s="3" t="s">
        <v>1927</v>
      </c>
      <c r="D46" s="3" t="s">
        <v>1928</v>
      </c>
    </row>
    <row r="47" spans="1:4" ht="40" customHeight="1" x14ac:dyDescent="0.2">
      <c r="A47" s="2" t="s">
        <v>1929</v>
      </c>
      <c r="B47" s="3" t="s">
        <v>1930</v>
      </c>
      <c r="C47" s="3" t="s">
        <v>1931</v>
      </c>
      <c r="D47" s="3" t="s">
        <v>1932</v>
      </c>
    </row>
    <row r="48" spans="1:4" ht="40" customHeight="1" x14ac:dyDescent="0.2">
      <c r="A48" s="2" t="s">
        <v>1933</v>
      </c>
      <c r="B48" s="3" t="s">
        <v>1934</v>
      </c>
      <c r="C48" s="3" t="s">
        <v>1935</v>
      </c>
      <c r="D48" s="3" t="s">
        <v>1936</v>
      </c>
    </row>
    <row r="49" spans="1:4" ht="40" customHeight="1" x14ac:dyDescent="0.2">
      <c r="A49" s="2" t="s">
        <v>1937</v>
      </c>
      <c r="B49" s="3" t="s">
        <v>1938</v>
      </c>
      <c r="C49" s="3" t="s">
        <v>1939</v>
      </c>
      <c r="D49" s="3" t="s">
        <v>1940</v>
      </c>
    </row>
    <row r="50" spans="1:4" ht="40" customHeight="1" x14ac:dyDescent="0.2">
      <c r="A50" s="2" t="s">
        <v>1941</v>
      </c>
      <c r="B50" s="3" t="s">
        <v>1942</v>
      </c>
      <c r="C50" s="3" t="s">
        <v>1915</v>
      </c>
      <c r="D50" s="3" t="s">
        <v>1943</v>
      </c>
    </row>
    <row r="51" spans="1:4" ht="40" customHeight="1" x14ac:dyDescent="0.2">
      <c r="A51" s="2" t="s">
        <v>1944</v>
      </c>
      <c r="B51" s="3" t="s">
        <v>1945</v>
      </c>
      <c r="C51" s="3" t="s">
        <v>1946</v>
      </c>
      <c r="D51" s="3" t="s">
        <v>1947</v>
      </c>
    </row>
    <row r="52" spans="1:4" ht="40" customHeight="1" x14ac:dyDescent="0.2">
      <c r="A52" s="2" t="s">
        <v>1948</v>
      </c>
      <c r="B52" s="3" t="s">
        <v>1949</v>
      </c>
      <c r="C52" s="3" t="s">
        <v>944</v>
      </c>
      <c r="D52" s="3" t="s">
        <v>1950</v>
      </c>
    </row>
    <row r="53" spans="1:4" ht="40" customHeight="1" x14ac:dyDescent="0.2">
      <c r="A53" s="2" t="s">
        <v>1951</v>
      </c>
      <c r="B53" s="3" t="s">
        <v>1952</v>
      </c>
      <c r="C53" s="3" t="s">
        <v>902</v>
      </c>
      <c r="D53" s="3" t="s">
        <v>1953</v>
      </c>
    </row>
    <row r="54" spans="1:4" ht="40" customHeight="1" x14ac:dyDescent="0.2">
      <c r="A54" s="2" t="s">
        <v>1954</v>
      </c>
      <c r="B54" s="3" t="s">
        <v>1955</v>
      </c>
      <c r="C54" s="3" t="s">
        <v>1956</v>
      </c>
      <c r="D54" s="3" t="s">
        <v>1957</v>
      </c>
    </row>
    <row r="55" spans="1:4" ht="40" customHeight="1" x14ac:dyDescent="0.2">
      <c r="A55" s="2" t="s">
        <v>1958</v>
      </c>
      <c r="B55" s="3" t="s">
        <v>1959</v>
      </c>
      <c r="C55" s="3" t="s">
        <v>1960</v>
      </c>
      <c r="D55" s="3" t="s">
        <v>1961</v>
      </c>
    </row>
    <row r="56" spans="1:4" ht="40" customHeight="1" x14ac:dyDescent="0.2">
      <c r="A56" s="2" t="s">
        <v>1962</v>
      </c>
      <c r="B56" s="3" t="s">
        <v>1963</v>
      </c>
      <c r="C56" s="3" t="s">
        <v>1964</v>
      </c>
      <c r="D56" s="3" t="s">
        <v>1965</v>
      </c>
    </row>
    <row r="57" spans="1:4" ht="40" customHeight="1" x14ac:dyDescent="0.2">
      <c r="A57" s="2" t="s">
        <v>1966</v>
      </c>
      <c r="B57" s="3" t="s">
        <v>1967</v>
      </c>
      <c r="C57" s="3" t="s">
        <v>1968</v>
      </c>
      <c r="D57" s="3" t="s">
        <v>1969</v>
      </c>
    </row>
    <row r="58" spans="1:4" ht="40" customHeight="1" x14ac:dyDescent="0.2">
      <c r="A58" s="2" t="s">
        <v>1970</v>
      </c>
      <c r="B58" s="3" t="s">
        <v>1971</v>
      </c>
      <c r="C58" s="3" t="s">
        <v>1972</v>
      </c>
      <c r="D58" s="3" t="s">
        <v>1973</v>
      </c>
    </row>
    <row r="59" spans="1:4" ht="40" customHeight="1" x14ac:dyDescent="0.2">
      <c r="A59" s="2" t="s">
        <v>1974</v>
      </c>
      <c r="B59" s="3" t="s">
        <v>1975</v>
      </c>
      <c r="C59" s="3" t="s">
        <v>1976</v>
      </c>
      <c r="D59" s="3" t="s">
        <v>1977</v>
      </c>
    </row>
    <row r="60" spans="1:4" ht="40" customHeight="1" x14ac:dyDescent="0.2">
      <c r="A60" s="2" t="s">
        <v>1978</v>
      </c>
      <c r="B60" s="3" t="s">
        <v>1979</v>
      </c>
      <c r="C60" s="3" t="s">
        <v>611</v>
      </c>
      <c r="D60" s="3" t="s">
        <v>1980</v>
      </c>
    </row>
    <row r="61" spans="1:4" ht="40" customHeight="1" x14ac:dyDescent="0.2">
      <c r="A61" s="2" t="s">
        <v>1981</v>
      </c>
      <c r="B61" s="3" t="s">
        <v>1982</v>
      </c>
      <c r="C61" s="3" t="s">
        <v>1983</v>
      </c>
      <c r="D61" s="3" t="s">
        <v>1984</v>
      </c>
    </row>
    <row r="62" spans="1:4" ht="40" customHeight="1" x14ac:dyDescent="0.2">
      <c r="A62" s="2" t="s">
        <v>1985</v>
      </c>
      <c r="B62" s="3" t="s">
        <v>1986</v>
      </c>
      <c r="C62" s="3" t="s">
        <v>1987</v>
      </c>
      <c r="D62" s="3" t="s">
        <v>1988</v>
      </c>
    </row>
    <row r="63" spans="1:4" ht="40" customHeight="1" x14ac:dyDescent="0.2">
      <c r="A63" s="2" t="s">
        <v>1989</v>
      </c>
      <c r="B63" s="3" t="s">
        <v>1990</v>
      </c>
      <c r="C63" s="3" t="s">
        <v>1010</v>
      </c>
      <c r="D63" s="3" t="s">
        <v>1991</v>
      </c>
    </row>
    <row r="64" spans="1:4" ht="40" customHeight="1" x14ac:dyDescent="0.2">
      <c r="A64" s="2" t="s">
        <v>1992</v>
      </c>
      <c r="B64" s="3" t="s">
        <v>1993</v>
      </c>
      <c r="C64" s="3" t="s">
        <v>1994</v>
      </c>
      <c r="D64" s="3" t="s">
        <v>1995</v>
      </c>
    </row>
    <row r="65" spans="1:4" ht="40" customHeight="1" x14ac:dyDescent="0.2">
      <c r="A65" s="2" t="s">
        <v>1996</v>
      </c>
      <c r="B65" s="3" t="s">
        <v>1997</v>
      </c>
      <c r="C65" s="3" t="s">
        <v>1998</v>
      </c>
      <c r="D65" s="3" t="s">
        <v>1999</v>
      </c>
    </row>
    <row r="66" spans="1:4" ht="40" customHeight="1" x14ac:dyDescent="0.2">
      <c r="A66" s="2" t="s">
        <v>2000</v>
      </c>
      <c r="B66" s="3" t="s">
        <v>2001</v>
      </c>
      <c r="C66" s="3" t="s">
        <v>2002</v>
      </c>
      <c r="D66" s="3" t="s">
        <v>2003</v>
      </c>
    </row>
    <row r="67" spans="1:4" ht="40" customHeight="1" x14ac:dyDescent="0.2">
      <c r="A67" s="2" t="s">
        <v>2004</v>
      </c>
      <c r="B67" s="3" t="s">
        <v>2005</v>
      </c>
      <c r="C67" s="3" t="s">
        <v>2006</v>
      </c>
      <c r="D67" s="3" t="s">
        <v>2007</v>
      </c>
    </row>
    <row r="68" spans="1:4" ht="40" customHeight="1" x14ac:dyDescent="0.2">
      <c r="A68" s="2" t="s">
        <v>2008</v>
      </c>
      <c r="B68" s="3" t="s">
        <v>2009</v>
      </c>
      <c r="C68" s="3" t="s">
        <v>2010</v>
      </c>
      <c r="D68" s="3" t="s">
        <v>2011</v>
      </c>
    </row>
    <row r="69" spans="1:4" ht="40" customHeight="1" x14ac:dyDescent="0.2">
      <c r="A69" s="2" t="s">
        <v>2012</v>
      </c>
      <c r="B69" s="3" t="s">
        <v>2013</v>
      </c>
      <c r="C69" s="3" t="s">
        <v>2014</v>
      </c>
      <c r="D69" s="3" t="s">
        <v>2015</v>
      </c>
    </row>
    <row r="70" spans="1:4" ht="40" customHeight="1" x14ac:dyDescent="0.2">
      <c r="A70" s="2" t="s">
        <v>2016</v>
      </c>
      <c r="B70" s="3" t="s">
        <v>2017</v>
      </c>
      <c r="C70" s="3" t="s">
        <v>2018</v>
      </c>
      <c r="D70" s="3" t="s">
        <v>2019</v>
      </c>
    </row>
    <row r="71" spans="1:4" ht="40" customHeight="1" x14ac:dyDescent="0.2">
      <c r="A71" s="2" t="s">
        <v>2020</v>
      </c>
      <c r="B71" s="3" t="s">
        <v>2021</v>
      </c>
      <c r="C71" s="3" t="s">
        <v>2022</v>
      </c>
      <c r="D71" s="3" t="s">
        <v>2023</v>
      </c>
    </row>
    <row r="72" spans="1:4" ht="40" customHeight="1" x14ac:dyDescent="0.2">
      <c r="A72" s="2" t="s">
        <v>2024</v>
      </c>
      <c r="B72" s="3" t="s">
        <v>2025</v>
      </c>
      <c r="C72" s="3" t="s">
        <v>2026</v>
      </c>
      <c r="D72" s="3" t="s">
        <v>2027</v>
      </c>
    </row>
    <row r="73" spans="1:4" ht="40" customHeight="1" x14ac:dyDescent="0.2">
      <c r="A73" s="2" t="s">
        <v>2028</v>
      </c>
      <c r="B73" s="3" t="s">
        <v>2029</v>
      </c>
      <c r="C73" s="3" t="s">
        <v>1294</v>
      </c>
      <c r="D73" s="3" t="s">
        <v>2030</v>
      </c>
    </row>
    <row r="74" spans="1:4" ht="40" customHeight="1" x14ac:dyDescent="0.2">
      <c r="A74" s="2" t="s">
        <v>2031</v>
      </c>
      <c r="B74" s="3" t="s">
        <v>2032</v>
      </c>
      <c r="C74" s="3" t="s">
        <v>2033</v>
      </c>
      <c r="D74" s="3" t="s">
        <v>2034</v>
      </c>
    </row>
    <row r="75" spans="1:4" ht="40" customHeight="1" x14ac:dyDescent="0.2">
      <c r="A75" s="2" t="s">
        <v>2035</v>
      </c>
      <c r="B75" s="3" t="s">
        <v>2036</v>
      </c>
      <c r="C75" s="3" t="s">
        <v>2037</v>
      </c>
      <c r="D75" s="3" t="s">
        <v>2038</v>
      </c>
    </row>
    <row r="76" spans="1:4" ht="40" customHeight="1" x14ac:dyDescent="0.2">
      <c r="A76" s="2" t="s">
        <v>2039</v>
      </c>
      <c r="B76" s="3" t="s">
        <v>2040</v>
      </c>
      <c r="C76" s="3" t="s">
        <v>2041</v>
      </c>
      <c r="D76" s="3" t="s">
        <v>2042</v>
      </c>
    </row>
    <row r="77" spans="1:4" ht="40" customHeight="1" x14ac:dyDescent="0.2">
      <c r="A77" s="2" t="s">
        <v>2043</v>
      </c>
      <c r="B77" s="3" t="s">
        <v>2044</v>
      </c>
      <c r="C77" s="3" t="s">
        <v>2045</v>
      </c>
      <c r="D77" s="3" t="s">
        <v>2046</v>
      </c>
    </row>
    <row r="78" spans="1:4" ht="40" customHeight="1" x14ac:dyDescent="0.2">
      <c r="A78" s="2" t="s">
        <v>2047</v>
      </c>
      <c r="B78" s="3" t="s">
        <v>2048</v>
      </c>
      <c r="C78" s="3" t="s">
        <v>2049</v>
      </c>
      <c r="D78" s="3" t="s">
        <v>2050</v>
      </c>
    </row>
    <row r="79" spans="1:4" ht="40" customHeight="1" x14ac:dyDescent="0.2">
      <c r="A79" s="2" t="s">
        <v>2051</v>
      </c>
      <c r="B79" s="3" t="s">
        <v>2052</v>
      </c>
      <c r="C79" s="3" t="s">
        <v>2053</v>
      </c>
      <c r="D79" s="3" t="s">
        <v>2054</v>
      </c>
    </row>
    <row r="80" spans="1:4" ht="40" customHeight="1" x14ac:dyDescent="0.2">
      <c r="A80" s="2" t="s">
        <v>2055</v>
      </c>
      <c r="B80" s="3" t="s">
        <v>2056</v>
      </c>
      <c r="C80" s="3" t="s">
        <v>2057</v>
      </c>
      <c r="D80" s="3" t="s">
        <v>2058</v>
      </c>
    </row>
    <row r="81" spans="1:4" ht="40" customHeight="1" x14ac:dyDescent="0.2">
      <c r="A81" s="2" t="s">
        <v>2059</v>
      </c>
      <c r="B81" s="3" t="s">
        <v>2060</v>
      </c>
      <c r="C81" s="3" t="s">
        <v>2061</v>
      </c>
      <c r="D81" s="3" t="s">
        <v>2062</v>
      </c>
    </row>
    <row r="82" spans="1:4" ht="40" customHeight="1" x14ac:dyDescent="0.2">
      <c r="A82" s="2" t="s">
        <v>2063</v>
      </c>
      <c r="B82" s="3" t="s">
        <v>2064</v>
      </c>
      <c r="C82" s="3" t="s">
        <v>2065</v>
      </c>
      <c r="D82" s="3" t="s">
        <v>2066</v>
      </c>
    </row>
    <row r="83" spans="1:4" ht="40" customHeight="1" x14ac:dyDescent="0.2">
      <c r="A83" s="2" t="s">
        <v>2067</v>
      </c>
      <c r="B83" s="3" t="s">
        <v>2068</v>
      </c>
      <c r="C83" s="3" t="s">
        <v>2069</v>
      </c>
      <c r="D83" s="3" t="s">
        <v>2070</v>
      </c>
    </row>
    <row r="84" spans="1:4" ht="40" customHeight="1" x14ac:dyDescent="0.2">
      <c r="A84" s="2" t="s">
        <v>2071</v>
      </c>
      <c r="B84" s="3" t="s">
        <v>2072</v>
      </c>
      <c r="C84" s="3" t="s">
        <v>2073</v>
      </c>
      <c r="D84" s="3" t="s">
        <v>2074</v>
      </c>
    </row>
    <row r="85" spans="1:4" ht="40" customHeight="1" x14ac:dyDescent="0.2">
      <c r="A85" s="2" t="s">
        <v>2075</v>
      </c>
      <c r="B85" s="3" t="s">
        <v>2076</v>
      </c>
      <c r="C85" s="3" t="s">
        <v>2077</v>
      </c>
      <c r="D85" s="3" t="s">
        <v>2078</v>
      </c>
    </row>
    <row r="86" spans="1:4" ht="40" customHeight="1" x14ac:dyDescent="0.2">
      <c r="A86" s="2" t="s">
        <v>2079</v>
      </c>
      <c r="B86" s="3" t="s">
        <v>2080</v>
      </c>
      <c r="C86" s="3" t="s">
        <v>2081</v>
      </c>
      <c r="D86" s="3" t="s">
        <v>2082</v>
      </c>
    </row>
    <row r="87" spans="1:4" ht="40" customHeight="1" x14ac:dyDescent="0.2">
      <c r="A87" s="2" t="s">
        <v>2083</v>
      </c>
      <c r="B87" s="3" t="s">
        <v>2084</v>
      </c>
      <c r="C87" s="3" t="s">
        <v>2085</v>
      </c>
      <c r="D87" s="3" t="s">
        <v>2086</v>
      </c>
    </row>
    <row r="88" spans="1:4" ht="40" customHeight="1" x14ac:dyDescent="0.2">
      <c r="A88" s="2" t="s">
        <v>2087</v>
      </c>
      <c r="B88" s="3" t="s">
        <v>2088</v>
      </c>
      <c r="C88" s="3" t="s">
        <v>2089</v>
      </c>
      <c r="D88" s="3" t="s">
        <v>2090</v>
      </c>
    </row>
    <row r="89" spans="1:4" ht="40" customHeight="1" x14ac:dyDescent="0.2">
      <c r="A89" s="2" t="s">
        <v>2091</v>
      </c>
      <c r="B89" s="3" t="s">
        <v>2092</v>
      </c>
      <c r="C89" s="3" t="s">
        <v>2093</v>
      </c>
      <c r="D89" s="3" t="s">
        <v>2094</v>
      </c>
    </row>
    <row r="90" spans="1:4" ht="40" customHeight="1" x14ac:dyDescent="0.2">
      <c r="A90" s="2" t="s">
        <v>2095</v>
      </c>
      <c r="B90" s="3" t="s">
        <v>2096</v>
      </c>
      <c r="C90" s="3" t="s">
        <v>2097</v>
      </c>
      <c r="D90" s="3" t="s">
        <v>2098</v>
      </c>
    </row>
    <row r="91" spans="1:4" ht="40" customHeight="1" x14ac:dyDescent="0.2">
      <c r="A91" s="2" t="s">
        <v>2099</v>
      </c>
      <c r="B91" s="3" t="s">
        <v>2100</v>
      </c>
      <c r="C91" s="3" t="s">
        <v>2101</v>
      </c>
      <c r="D91" s="3" t="s">
        <v>2102</v>
      </c>
    </row>
    <row r="92" spans="1:4" ht="40" customHeight="1" x14ac:dyDescent="0.2">
      <c r="A92" s="2" t="s">
        <v>2103</v>
      </c>
      <c r="B92" s="3" t="s">
        <v>2104</v>
      </c>
      <c r="C92" s="3" t="s">
        <v>2105</v>
      </c>
      <c r="D92" s="3" t="s">
        <v>2106</v>
      </c>
    </row>
    <row r="93" spans="1:4" ht="40" customHeight="1" x14ac:dyDescent="0.2">
      <c r="A93" s="2" t="s">
        <v>2107</v>
      </c>
      <c r="B93" s="3" t="s">
        <v>2108</v>
      </c>
      <c r="C93" s="3" t="s">
        <v>2109</v>
      </c>
      <c r="D93" s="3" t="s">
        <v>2110</v>
      </c>
    </row>
    <row r="94" spans="1:4" ht="40" customHeight="1" x14ac:dyDescent="0.2">
      <c r="A94" s="2" t="s">
        <v>2111</v>
      </c>
      <c r="B94" s="3" t="s">
        <v>2112</v>
      </c>
      <c r="C94" s="3" t="s">
        <v>2113</v>
      </c>
      <c r="D94" s="3" t="s">
        <v>2114</v>
      </c>
    </row>
    <row r="95" spans="1:4" ht="40" customHeight="1" x14ac:dyDescent="0.2">
      <c r="A95" s="2" t="s">
        <v>2115</v>
      </c>
      <c r="B95" s="3" t="s">
        <v>2116</v>
      </c>
      <c r="C95" s="3" t="s">
        <v>2117</v>
      </c>
      <c r="D95" s="3" t="s">
        <v>2118</v>
      </c>
    </row>
    <row r="96" spans="1:4" ht="32" customHeight="1" x14ac:dyDescent="0.2">
      <c r="A96" s="2" t="s">
        <v>2119</v>
      </c>
      <c r="B96" s="3" t="s">
        <v>2120</v>
      </c>
      <c r="C96" s="3" t="s">
        <v>400</v>
      </c>
      <c r="D96" s="3" t="s">
        <v>2121</v>
      </c>
    </row>
    <row r="97" spans="1:4" ht="32" customHeight="1" x14ac:dyDescent="0.2">
      <c r="A97" s="2" t="s">
        <v>2122</v>
      </c>
      <c r="B97" s="3" t="s">
        <v>2123</v>
      </c>
      <c r="C97" s="3" t="s">
        <v>2124</v>
      </c>
      <c r="D97" s="3" t="s">
        <v>2125</v>
      </c>
    </row>
    <row r="98" spans="1:4" ht="32" customHeight="1" x14ac:dyDescent="0.2">
      <c r="A98" s="2" t="s">
        <v>2126</v>
      </c>
      <c r="B98" s="3" t="s">
        <v>2127</v>
      </c>
      <c r="C98" s="3" t="s">
        <v>2128</v>
      </c>
      <c r="D98" s="3" t="s">
        <v>2129</v>
      </c>
    </row>
    <row r="99" spans="1:4" ht="32" customHeight="1" x14ac:dyDescent="0.2">
      <c r="A99" s="2" t="s">
        <v>2130</v>
      </c>
      <c r="B99" s="3" t="s">
        <v>2131</v>
      </c>
      <c r="C99" s="3" t="s">
        <v>2132</v>
      </c>
      <c r="D99" s="3" t="s">
        <v>2133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Overview &amp; how to read</vt:lpstr>
      <vt:lpstr>v1.0 review → v1.1</vt:lpstr>
      <vt:lpstr>Screen inventory</vt:lpstr>
      <vt:lpstr>Home</vt:lpstr>
      <vt:lpstr>Net worth</vt:lpstr>
      <vt:lpstr>Invest</vt:lpstr>
      <vt:lpstr>Cash flow</vt:lpstr>
      <vt:lpstr>Plan</vt:lpstr>
      <vt:lpstr>New engines</vt:lpstr>
      <vt:lpstr>Data-lineage map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2026-07-02T19:35:46Z</dcterms:created>
  <dcterms:modified xsi:type="dcterms:W3CDTF">2026-07-14T05:17:35Z</dcterms:modified>
</cp:coreProperties>
</file>